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685dc9ab05c5d49/02. AREAS/04. ABP/06. PAGINA WEB ABP/PAGINA WEB ABP - VS CODE/img/"/>
    </mc:Choice>
  </mc:AlternateContent>
  <xr:revisionPtr revIDLastSave="2" documentId="11_549BE621AF3E08C7615B60C96F7058E6494A25AB" xr6:coauthVersionLast="47" xr6:coauthVersionMax="47" xr10:uidLastSave="{39436CD7-9315-4FC9-81BF-6D122E9584AC}"/>
  <bookViews>
    <workbookView minimized="1" xWindow="3810" yWindow="2205" windowWidth="18570" windowHeight="13620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  <c r="G95" i="2"/>
  <c r="G96" i="2"/>
  <c r="G97" i="2"/>
  <c r="M32" i="2"/>
  <c r="J34" i="2"/>
  <c r="M34" i="2" s="1"/>
  <c r="J33" i="2"/>
  <c r="M33" i="2" s="1"/>
  <c r="G90" i="2"/>
  <c r="G71" i="2"/>
  <c r="J32" i="2"/>
  <c r="J113" i="2"/>
  <c r="I44" i="1"/>
  <c r="G103" i="2"/>
  <c r="G105" i="2"/>
  <c r="G106" i="2"/>
  <c r="G107" i="2"/>
  <c r="G108" i="2"/>
  <c r="G109" i="2"/>
  <c r="G110" i="2"/>
  <c r="G111" i="2"/>
  <c r="G35" i="2"/>
  <c r="G53" i="2"/>
  <c r="G52" i="2"/>
  <c r="G92" i="2"/>
  <c r="G85" i="2"/>
  <c r="G84" i="2"/>
  <c r="G87" i="2"/>
  <c r="G41" i="2"/>
  <c r="G56" i="2" l="1"/>
  <c r="G63" i="2"/>
  <c r="G59" i="2"/>
  <c r="G70" i="2"/>
  <c r="G76" i="2"/>
  <c r="G74" i="2"/>
  <c r="G62" i="2"/>
  <c r="G57" i="2"/>
  <c r="G54" i="2"/>
  <c r="G39" i="2"/>
  <c r="G37" i="2"/>
  <c r="G38" i="2"/>
  <c r="G36" i="2"/>
  <c r="G24" i="2"/>
  <c r="G25" i="2"/>
  <c r="G26" i="2"/>
  <c r="G27" i="2"/>
  <c r="G30" i="2"/>
  <c r="G28" i="2"/>
  <c r="G29" i="2"/>
  <c r="G114" i="2"/>
  <c r="G113" i="2"/>
  <c r="G112" i="2"/>
  <c r="G102" i="2"/>
  <c r="G101" i="2"/>
  <c r="G100" i="2"/>
  <c r="G99" i="2"/>
  <c r="G98" i="2"/>
  <c r="G94" i="2"/>
  <c r="G93" i="2"/>
  <c r="G91" i="2"/>
  <c r="G89" i="2"/>
  <c r="G88" i="2"/>
  <c r="G86" i="2"/>
  <c r="G83" i="2"/>
  <c r="G82" i="2"/>
  <c r="G81" i="2"/>
  <c r="G80" i="2"/>
  <c r="G79" i="2"/>
  <c r="G78" i="2"/>
  <c r="G77" i="2"/>
  <c r="G75" i="2"/>
  <c r="G73" i="2"/>
  <c r="G72" i="2"/>
  <c r="G69" i="2"/>
  <c r="G68" i="2"/>
  <c r="G67" i="2"/>
  <c r="G66" i="2"/>
  <c r="G65" i="2"/>
  <c r="G64" i="2"/>
  <c r="G61" i="2"/>
  <c r="G60" i="2"/>
  <c r="G58" i="2"/>
  <c r="G55" i="2"/>
  <c r="G51" i="2"/>
  <c r="G50" i="2"/>
  <c r="G49" i="2"/>
  <c r="G48" i="2"/>
  <c r="G47" i="2"/>
  <c r="G46" i="2"/>
  <c r="G45" i="2"/>
  <c r="G44" i="2"/>
  <c r="G43" i="2"/>
  <c r="G40" i="2"/>
  <c r="G34" i="2"/>
  <c r="G33" i="2"/>
  <c r="G32" i="2"/>
  <c r="G31" i="2"/>
  <c r="G115" i="2" l="1"/>
  <c r="G76" i="1"/>
  <c r="G77" i="1"/>
  <c r="G78" i="1"/>
  <c r="G79" i="1"/>
  <c r="G80" i="1"/>
  <c r="G81" i="1"/>
  <c r="G82" i="1"/>
  <c r="G83" i="1"/>
  <c r="G84" i="1"/>
  <c r="G85" i="1"/>
  <c r="G86" i="1"/>
  <c r="G57" i="1"/>
  <c r="G45" i="1"/>
  <c r="G56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28" i="1"/>
  <c r="G22" i="1"/>
  <c r="G34" i="1" l="1"/>
  <c r="G55" i="1" l="1"/>
  <c r="G53" i="1"/>
  <c r="G54" i="1"/>
  <c r="G52" i="1"/>
  <c r="G51" i="1"/>
  <c r="G50" i="1"/>
  <c r="G49" i="1"/>
  <c r="G48" i="1"/>
  <c r="G47" i="1"/>
  <c r="G46" i="1"/>
  <c r="G44" i="1"/>
  <c r="G13" i="1" l="1"/>
  <c r="G42" i="1" l="1"/>
  <c r="G41" i="1"/>
  <c r="G40" i="1"/>
  <c r="G39" i="1"/>
  <c r="G37" i="1"/>
  <c r="G30" i="1"/>
  <c r="G31" i="1"/>
  <c r="G32" i="1"/>
  <c r="G33" i="1"/>
  <c r="G38" i="1"/>
  <c r="G29" i="1"/>
  <c r="G27" i="1"/>
  <c r="G26" i="1"/>
  <c r="G25" i="1"/>
  <c r="G24" i="1"/>
  <c r="G23" i="1"/>
  <c r="G20" i="1"/>
  <c r="G19" i="1"/>
  <c r="G18" i="1"/>
  <c r="G17" i="1"/>
  <c r="G36" i="1"/>
  <c r="G35" i="1"/>
  <c r="G16" i="1"/>
  <c r="G15" i="1"/>
  <c r="G14" i="1"/>
  <c r="G12" i="1"/>
  <c r="G11" i="1"/>
</calcChain>
</file>

<file path=xl/sharedStrings.xml><?xml version="1.0" encoding="utf-8"?>
<sst xmlns="http://schemas.openxmlformats.org/spreadsheetml/2006/main" count="380" uniqueCount="167">
  <si>
    <t>Proyecto: Ventura</t>
  </si>
  <si>
    <t>CANTIDAD</t>
  </si>
  <si>
    <t>UNIDAD</t>
  </si>
  <si>
    <t>PRECIO</t>
  </si>
  <si>
    <t>IMPORTE</t>
  </si>
  <si>
    <t>LOTE</t>
  </si>
  <si>
    <t>m2</t>
  </si>
  <si>
    <t>FEBRERO 06 DE 2026</t>
  </si>
  <si>
    <t>FACHADA</t>
  </si>
  <si>
    <t>COLADO DE HUELLAS FRENTE A CISTERNA</t>
  </si>
  <si>
    <t>PZ</t>
  </si>
  <si>
    <t>COLADO DE FIRME EN ÁREA DE SERVICIO</t>
  </si>
  <si>
    <t>ML</t>
  </si>
  <si>
    <t>COLOCACIÓN PUNTAS AREA DE SERVICIO</t>
  </si>
  <si>
    <t>REBABEO DE DALA BOTADA EN ÁREA DE SERVICIO</t>
  </si>
  <si>
    <t>COLADO DE FIRME ENTRADA PPAL</t>
  </si>
  <si>
    <t>M2</t>
  </si>
  <si>
    <t xml:space="preserve">ACABADO A BASE DE ESTUCO EN MUROS LATERALES </t>
  </si>
  <si>
    <t>ACABADO A BASE DE ESTUCO MURO FRENTE</t>
  </si>
  <si>
    <t>ACABADO A BASE DE ESTUCO EN LOSA COCHERA</t>
  </si>
  <si>
    <t>RESCATE lote16</t>
  </si>
  <si>
    <t>ACABADO A BASE DE ESTUCO EN ÁREA DE SERVICIO</t>
  </si>
  <si>
    <t>REPARACIÓN DE FISURA EN MURO FACHADA</t>
  </si>
  <si>
    <t>RANURADO, ACOMODO DE POLIDUCTOS Y COLOCACIÓN DE CENTRO DE CARGA</t>
  </si>
  <si>
    <t>INTERIOR</t>
  </si>
  <si>
    <t xml:space="preserve">ACABADO YESO EN MURO LAVANDERIÍA </t>
  </si>
  <si>
    <t>ACABADO YESO EN LOSA LAVANDERÍA</t>
  </si>
  <si>
    <t>ACABADO YESO EN NICHO PUERTA LAVANDERÍA</t>
  </si>
  <si>
    <t>ACABADO YESO EN MUROS ÁREAS SOCIALES</t>
  </si>
  <si>
    <t>ACABDO YESO EN LOSA ÁREAS SOCIALES</t>
  </si>
  <si>
    <t>ACABADO YESO EN MUROS BAÑO COMÚN</t>
  </si>
  <si>
    <t>ACABADO YESO LOSA BAÑO COMUN</t>
  </si>
  <si>
    <t>ACABADO YESO MUROS CUBO ESCALERA</t>
  </si>
  <si>
    <t>ACABDO YESOBAJO ESCALERA</t>
  </si>
  <si>
    <t>ACABADO YESO ESTANCIA</t>
  </si>
  <si>
    <t>REPARACIÓN DE FISURAS EN ESTANCIA</t>
  </si>
  <si>
    <t>REPARACIÓN DE FISURAS ÁREAS SOCIALES</t>
  </si>
  <si>
    <t>ACABADO YESO EN MUROS RECÁMARA PRINCIPAL</t>
  </si>
  <si>
    <t>ACABADO YESO EN LOSA RECÁMARA PRINCIPAL</t>
  </si>
  <si>
    <t>REPARACIÓN DE FISURAS EN VESTIDOR REC PPAL</t>
  </si>
  <si>
    <t>REPARACIÓN DE FISURAS EN RECÁMARA PPAL</t>
  </si>
  <si>
    <t>ACABADO YESO MUROS BAÑO RECÁMARA PPAL</t>
  </si>
  <si>
    <t>ACABADO YESO LOSA BAÑO REC PPAL</t>
  </si>
  <si>
    <t>COLOCACIÓN DE PSIO EN BAÑO PPAL</t>
  </si>
  <si>
    <t>COLOCACIÓN DE PISO EN LAVABO PPAL</t>
  </si>
  <si>
    <t>REPOSICIÓN DE VITROPISO EN PLANTA ALTA</t>
  </si>
  <si>
    <t>ACABADO YESO MUROS RECÁMARA 1</t>
  </si>
  <si>
    <t>REPARACIÓN DE FISURAS REC 1</t>
  </si>
  <si>
    <t>ACABADO YESO EN VESTIDOR REC 1</t>
  </si>
  <si>
    <t>ACABADO YESO MUROS BAÑO REC 1</t>
  </si>
  <si>
    <t>ACABDO YESO LOSA BAÑO REC 1</t>
  </si>
  <si>
    <t>ENJARRE GRUESO EN BAÑO REC 1</t>
  </si>
  <si>
    <t>COLOCACION VITROPISO EN LAVABO REC 1</t>
  </si>
  <si>
    <t>ACABDO YESO EN MUROS REC 2</t>
  </si>
  <si>
    <t>REPARACIÓN DE FISURAS REC 2</t>
  </si>
  <si>
    <t>ACABADO YESO EN BAÑO REC2</t>
  </si>
  <si>
    <t>ACABADO YESO EN BAÑO REC19</t>
  </si>
  <si>
    <t>M19</t>
  </si>
  <si>
    <t>COLOCACIÓN DE MONOMANDO Y TUBERÍA REGADERA</t>
  </si>
  <si>
    <t xml:space="preserve">PEGUE DE BLOC (1 HILADA) </t>
  </si>
  <si>
    <t>COLOCACIÓN DE ZOCLO P/A</t>
  </si>
  <si>
    <t>RANURADO,COLOCACIÓN DE CHALUPA Y RESANE POLIDUCTO EN ESTANCIA</t>
  </si>
  <si>
    <t>REPOSICIÓN DE PISO ESCALERA</t>
  </si>
  <si>
    <t>REPOSICIÓN DE PISO EN PLANTA BAJA</t>
  </si>
  <si>
    <t>COLOCACIÓN DE PISOS FALTANTES PLANTA BAJA</t>
  </si>
  <si>
    <t>EMBOQUILLADO P/A</t>
  </si>
  <si>
    <t>EMBOQUILLADO P/B</t>
  </si>
  <si>
    <t>EMBOQUILLADO DE PISO EN ESCALERA</t>
  </si>
  <si>
    <t>COLOCACIÓN DE ZOCLO P/B</t>
  </si>
  <si>
    <t>ACABDO ESTUCO EN MURO TRASERO</t>
  </si>
  <si>
    <t>NIVELACIÓN DE TERRENO PATIO TRASERO</t>
  </si>
  <si>
    <t>ACABDO A BASE DE ESTUCO MURO PASILLO</t>
  </si>
  <si>
    <t>COLOCACIÓN DE TAPÓN REGISTRO PASILLO</t>
  </si>
  <si>
    <t>COLOCACIÓN DE COLADERA 3"</t>
  </si>
  <si>
    <t xml:space="preserve">DEMOLICIÓN Y RETIRO DE FIRME, VIGUETA Y CASETÓN LOSA CISTERNA </t>
  </si>
  <si>
    <t>COLOCACIÓN DE CISTERNA Y COLADO DE LOSA</t>
  </si>
  <si>
    <t>INSTALACIONES ELECTRICAS</t>
  </si>
  <si>
    <t>RASTREO DE TOMA RED DE AGUA Y COLOCACION DE COLUMPIO MAT Y M.O</t>
  </si>
  <si>
    <t xml:space="preserve">PLOMERIA REVISAR </t>
  </si>
  <si>
    <t>AZOTEA DIAMANTES</t>
  </si>
  <si>
    <t>1 M3</t>
  </si>
  <si>
    <t>AZOTEA FINO LOSA PARA RECIBIR IMPER</t>
  </si>
  <si>
    <t>AZOTEA FINO EN MUROS PRETIL</t>
  </si>
  <si>
    <t>AZOTEA IMPER</t>
  </si>
  <si>
    <t>AZOTEA PERFILADO Y ACABDO EN MURO DOMO</t>
  </si>
  <si>
    <t>AZOTEA COLOCACIÓN DE DOMO</t>
  </si>
  <si>
    <t>DESCRIPCION</t>
  </si>
  <si>
    <t>CANT</t>
  </si>
  <si>
    <t>MATERIAL ELECTRICO MOD VALLEJO</t>
  </si>
  <si>
    <t>CONTACTO INTERIOR</t>
  </si>
  <si>
    <t>CONTACTO EXTERIOR</t>
  </si>
  <si>
    <t>SPOT</t>
  </si>
  <si>
    <t>TAPA PARA CONTACTO EXTERIOR</t>
  </si>
  <si>
    <t>ROSETAS</t>
  </si>
  <si>
    <t>TAPA CIEGA</t>
  </si>
  <si>
    <t>TERMICO 15A 1P</t>
  </si>
  <si>
    <t>TERMICO 20A 1P</t>
  </si>
  <si>
    <t>TERMICO 30A 1P</t>
  </si>
  <si>
    <t>TERMICO PRINCIPAL 2P 125A</t>
  </si>
  <si>
    <t>SPOT ESCALERA</t>
  </si>
  <si>
    <t>APAGADORES TRIPLES</t>
  </si>
  <si>
    <t>APAGADORES DOBLES</t>
  </si>
  <si>
    <t>APAGADORES 3 VIAS</t>
  </si>
  <si>
    <t>APAGADORES SENCILLOS</t>
  </si>
  <si>
    <t>CABLE #12 COLOR BLANCO</t>
  </si>
  <si>
    <t>CAJAS</t>
  </si>
  <si>
    <t>CABLE #12 COLOR NEGRO</t>
  </si>
  <si>
    <t>CABLE #12 COLOR VERDE</t>
  </si>
  <si>
    <t>CABLE #14 COLOR NEGRO</t>
  </si>
  <si>
    <t>CABLE #14 COLOR BLANCO</t>
  </si>
  <si>
    <t>CABLE #14 COLOR ROJO</t>
  </si>
  <si>
    <t>MARZO 10 DE 2026</t>
  </si>
  <si>
    <t>COLADO FIRME ANDADOR PRINCIPAL</t>
  </si>
  <si>
    <t>COLADO FIRME PASILLO</t>
  </si>
  <si>
    <t>COLADO FIRME TRASERO</t>
  </si>
  <si>
    <t>COLOCACIÓN DE PIEDRA EN MURO PUERTA PRINCIPAL</t>
  </si>
  <si>
    <t>ENJARRE GRUESO EN MURO PUERTA PRINCIPAL PAR RECIBIR PIEDRA</t>
  </si>
  <si>
    <t>M3</t>
  </si>
  <si>
    <t>COLOCACIÓN PUNTAS PLOMERÍA AREA DE SERVICIO</t>
  </si>
  <si>
    <t>COLADO DE TUBERÍAS DE 3" Y 2"</t>
  </si>
  <si>
    <t>RANURADO DE MURO Y COLOCACIÓN DE DESAGUE MINISPLIT</t>
  </si>
  <si>
    <t>DESCIMBRE DE CASTILLOS Y CADENA PASILLO</t>
  </si>
  <si>
    <t>COLADO FIRME COCHERA Y ANDADOR PRINCIPAL</t>
  </si>
  <si>
    <t>ACABADO YESO EN MURO SALA COMEDOR</t>
  </si>
  <si>
    <t>ACABADO YESO EN LOSA SALA COMEDOR</t>
  </si>
  <si>
    <t>ACABADO YESO EN TRABE LOSA ESCALERA Y CTO SERVICIO</t>
  </si>
  <si>
    <t>DETALLE DE ENJARRE GRUESO DEN MOCHETAS CANCEL SALA COMEDOR</t>
  </si>
  <si>
    <t>DETALLE EN COLUMNA EN ÁREA SOCIAL ACERO EXPUESTO</t>
  </si>
  <si>
    <t>ACABADO YESO EN MUROS LAVANDERIA Y NICHO PUERTA</t>
  </si>
  <si>
    <t>ACABADO YESO CUARTO DE SERVICIO</t>
  </si>
  <si>
    <t>ACABDO YESO ESCALERA</t>
  </si>
  <si>
    <t>ACABADO YESO RECIBIDOR</t>
  </si>
  <si>
    <t>ACABADO YESO LOSA CUBO ESCALERA</t>
  </si>
  <si>
    <t>ACABADO YESO MUROS ESTANCIA</t>
  </si>
  <si>
    <t>ACABADO YESO EN LOSA ESTANCIA</t>
  </si>
  <si>
    <t>DETALLE CIERRE DE LOSA PARA DAR MEDIDA A HUECO DE DUCTOS</t>
  </si>
  <si>
    <t>ACABADO YESO MUROS EN VESTIDOR REC PPAL</t>
  </si>
  <si>
    <t>ACABADO YESO EN LOSA RECÁMARA PPAL</t>
  </si>
  <si>
    <t>COLOCACIÓN DE MUEBLES SANITARIOS</t>
  </si>
  <si>
    <t>COLOCACIÓN DE ACCESORIOS DE BAÑO</t>
  </si>
  <si>
    <t>COLOCACIÓN DE MURO DE BLOCK BAÑO REC PPAL</t>
  </si>
  <si>
    <t>COLADO DE CASTILLO ESTANCIA</t>
  </si>
  <si>
    <t>FABRICACIÓN DE MURO TABLAROCA HOJA YESO</t>
  </si>
  <si>
    <t>DESCIMBRE DE MADERA EN LOSA CUBO ESCALERA</t>
  </si>
  <si>
    <t>ENJARRE GRUESO Y EN MURO PASILLO</t>
  </si>
  <si>
    <t>ACABADO A BASE DE ESTUCO EN MURO PASILLO</t>
  </si>
  <si>
    <t>ACABADO YESO LOSA MUROS RECÁMARA 1</t>
  </si>
  <si>
    <t>ACABADO YESO EN MUROS REC 1</t>
  </si>
  <si>
    <t>ACABADO YESO EN LOSA RECAMARA 2</t>
  </si>
  <si>
    <t>REPARACION DE DESCARGA SANITARIA BAÑO REC 1</t>
  </si>
  <si>
    <t>COLOCACION DE PISO EN BAÑO</t>
  </si>
  <si>
    <t>COLOCACION DE PISO EN BAÑO 1</t>
  </si>
  <si>
    <t>CIMBRA Y COLADO DE CERRAMIENTO EN BAÑO REC 2</t>
  </si>
  <si>
    <t>RETIRO DE CIMBRA EN REC 2</t>
  </si>
  <si>
    <t>COLOCACIÓN DE VITROPISO EN PLANTA BAJA</t>
  </si>
  <si>
    <t>COLOCACION DE PISO EN ESCALERA</t>
  </si>
  <si>
    <t>COLOCACION DE PISO EN PLANTA ALTA</t>
  </si>
  <si>
    <t>ACABADO YESO EN LOSA BAÑO COMÚN</t>
  </si>
  <si>
    <t>ACABADO A BASE DE ESTUCO EN MURO TRASERO</t>
  </si>
  <si>
    <t>AZOTEA FABRICACIÓN DE MURO PARA RECIBIR DOMO</t>
  </si>
  <si>
    <t>SOBRETECHO Y CHAFLANES EN LOSA AZOTEA</t>
  </si>
  <si>
    <t>FABRICACION DE MURO PRETIL LATERAL DERECHO</t>
  </si>
  <si>
    <t>RESCATE lote17</t>
  </si>
  <si>
    <t>ESTUCO</t>
  </si>
  <si>
    <t>ENJARRE GRUESO</t>
  </si>
  <si>
    <t>ENJARRE GRUESO EN MUROS BAÑO PPAL</t>
  </si>
  <si>
    <t>YESO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</si>
</sst>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4" xfId="0" applyBorder="1"/>
    <xf numFmtId="44" fontId="0" fillId="0" borderId="4" xfId="1" applyFont="1" applyBorder="1"/>
    <xf numFmtId="44" fontId="0" fillId="0" borderId="4" xfId="1" applyFont="1" applyFill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4" borderId="4" xfId="0" applyFill="1" applyBorder="1"/>
    <xf numFmtId="0" fontId="0" fillId="4" borderId="4" xfId="0" applyFill="1" applyBorder="1" applyAlignment="1">
      <alignment horizontal="left" vertical="top"/>
    </xf>
    <xf numFmtId="0" fontId="0" fillId="4" borderId="5" xfId="0" applyFill="1" applyBorder="1" applyAlignment="1">
      <alignment vertical="top"/>
    </xf>
    <xf numFmtId="0" fontId="0" fillId="4" borderId="6" xfId="0" applyFill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0" applyNumberFormat="1"/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3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4" xfId="0" applyFill="1" applyBorder="1" applyAlignment="1">
      <alignment horizontal="left" vertical="top"/>
    </xf>
    <xf numFmtId="0" fontId="0" fillId="3" borderId="5" xfId="0" applyFill="1" applyBorder="1" applyAlignment="1">
      <alignment horizontal="center" vertical="top"/>
    </xf>
    <xf numFmtId="0" fontId="0" fillId="3" borderId="6" xfId="0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M89"/>
  <sheetViews>
    <sheetView tabSelected="1" zoomScale="69" zoomScaleNormal="47" workbookViewId="0">
      <selection activeCell="B24" sqref="B23:C24"/>
    </sheetView>
  </sheetViews>
  <sheetFormatPr baseColWidth="10" defaultRowHeight="15" x14ac:dyDescent="0.25"/>
  <cols>
    <col min="1" max="1" width="7.85546875" customWidth="1"/>
    <col min="2" max="2" width="50.140625" customWidth="1"/>
    <col min="3" max="3" width="42.85546875" customWidth="1"/>
    <col min="6" max="6" width="14.140625" customWidth="1"/>
    <col min="7" max="7" width="15.42578125" bestFit="1" customWidth="1"/>
    <col min="8" max="8" width="6.28515625" customWidth="1"/>
    <col min="9" max="9" width="48.5703125" customWidth="1"/>
    <col min="14" max="14" width="37" customWidth="1"/>
  </cols>
  <sheetData>
    <row r="7" spans="1:13" x14ac:dyDescent="0.25">
      <c r="A7" s="19" t="s">
        <v>0</v>
      </c>
      <c r="B7" s="20"/>
      <c r="C7" s="20"/>
      <c r="D7" s="20"/>
      <c r="E7" s="20"/>
      <c r="F7" s="20"/>
      <c r="G7" s="20"/>
    </row>
    <row r="8" spans="1:13" x14ac:dyDescent="0.25">
      <c r="A8" s="21" t="s">
        <v>20</v>
      </c>
      <c r="B8" s="22"/>
      <c r="C8" s="22"/>
      <c r="D8" s="22"/>
      <c r="E8" s="22"/>
      <c r="F8" s="22"/>
      <c r="G8" s="22"/>
      <c r="H8" s="4"/>
      <c r="I8" s="5"/>
    </row>
    <row r="9" spans="1:13" x14ac:dyDescent="0.25">
      <c r="A9" s="23" t="s">
        <v>7</v>
      </c>
      <c r="B9" s="23"/>
      <c r="C9" s="23"/>
      <c r="D9" s="1" t="s">
        <v>1</v>
      </c>
      <c r="E9" s="1" t="s">
        <v>2</v>
      </c>
      <c r="F9" s="1" t="s">
        <v>3</v>
      </c>
      <c r="G9" s="1" t="s">
        <v>4</v>
      </c>
      <c r="J9" s="26"/>
      <c r="K9" s="26"/>
      <c r="L9" s="26"/>
      <c r="M9" s="26"/>
    </row>
    <row r="10" spans="1:13" x14ac:dyDescent="0.25">
      <c r="A10" s="7"/>
      <c r="B10" s="8" t="s">
        <v>8</v>
      </c>
      <c r="C10" s="9"/>
      <c r="D10" s="1"/>
      <c r="E10" s="1"/>
      <c r="F10" s="1"/>
      <c r="G10" s="1"/>
    </row>
    <row r="11" spans="1:13" x14ac:dyDescent="0.25">
      <c r="A11" s="1">
        <v>1</v>
      </c>
      <c r="B11" s="16" t="s">
        <v>9</v>
      </c>
      <c r="C11" s="16"/>
      <c r="D11" s="1">
        <v>6</v>
      </c>
      <c r="E11" s="1" t="s">
        <v>10</v>
      </c>
      <c r="F11" s="2">
        <v>350</v>
      </c>
      <c r="G11" s="2">
        <f t="shared" ref="G11:G37" si="0">D11*F11</f>
        <v>2100</v>
      </c>
      <c r="I11" s="26" t="s">
        <v>88</v>
      </c>
      <c r="J11" s="26"/>
      <c r="K11" s="26"/>
    </row>
    <row r="12" spans="1:13" x14ac:dyDescent="0.25">
      <c r="A12" s="1">
        <v>2</v>
      </c>
      <c r="B12" s="16" t="s">
        <v>11</v>
      </c>
      <c r="C12" s="16"/>
      <c r="D12" s="1">
        <v>3.15</v>
      </c>
      <c r="E12" s="1" t="s">
        <v>12</v>
      </c>
      <c r="F12" s="2">
        <v>160</v>
      </c>
      <c r="G12" s="2">
        <f t="shared" si="0"/>
        <v>504</v>
      </c>
      <c r="I12" t="s">
        <v>86</v>
      </c>
      <c r="J12" t="s">
        <v>87</v>
      </c>
      <c r="K12" t="s">
        <v>2</v>
      </c>
    </row>
    <row r="13" spans="1:13" x14ac:dyDescent="0.25">
      <c r="A13" s="1">
        <v>3</v>
      </c>
      <c r="B13" s="16" t="s">
        <v>13</v>
      </c>
      <c r="C13" s="16"/>
      <c r="D13" s="1">
        <v>7</v>
      </c>
      <c r="E13" s="1" t="s">
        <v>10</v>
      </c>
      <c r="F13" s="2">
        <v>250</v>
      </c>
      <c r="G13" s="2">
        <f t="shared" si="0"/>
        <v>1750</v>
      </c>
      <c r="I13" t="s">
        <v>89</v>
      </c>
      <c r="J13">
        <v>42</v>
      </c>
      <c r="K13" t="s">
        <v>10</v>
      </c>
    </row>
    <row r="14" spans="1:13" x14ac:dyDescent="0.25">
      <c r="A14" s="1">
        <v>4</v>
      </c>
      <c r="B14" s="16" t="s">
        <v>14</v>
      </c>
      <c r="C14" s="16"/>
      <c r="D14" s="1">
        <v>4.55</v>
      </c>
      <c r="E14" s="1" t="s">
        <v>12</v>
      </c>
      <c r="F14" s="2">
        <v>200</v>
      </c>
      <c r="G14" s="2">
        <f t="shared" si="0"/>
        <v>910</v>
      </c>
      <c r="I14" t="s">
        <v>90</v>
      </c>
      <c r="J14">
        <v>15</v>
      </c>
      <c r="K14" t="s">
        <v>10</v>
      </c>
    </row>
    <row r="15" spans="1:13" x14ac:dyDescent="0.25">
      <c r="A15" s="1">
        <v>5</v>
      </c>
      <c r="B15" s="16" t="s">
        <v>15</v>
      </c>
      <c r="C15" s="16"/>
      <c r="D15" s="1">
        <v>1</v>
      </c>
      <c r="E15" s="1" t="s">
        <v>10</v>
      </c>
      <c r="F15" s="2">
        <v>2200</v>
      </c>
      <c r="G15" s="2">
        <f t="shared" si="0"/>
        <v>2200</v>
      </c>
      <c r="I15" t="s">
        <v>91</v>
      </c>
      <c r="J15">
        <v>58</v>
      </c>
      <c r="K15" t="s">
        <v>10</v>
      </c>
    </row>
    <row r="16" spans="1:13" x14ac:dyDescent="0.25">
      <c r="A16" s="1">
        <v>6</v>
      </c>
      <c r="B16" s="16" t="s">
        <v>17</v>
      </c>
      <c r="C16" s="16"/>
      <c r="D16" s="1">
        <v>59</v>
      </c>
      <c r="E16" s="1" t="s">
        <v>16</v>
      </c>
      <c r="F16" s="2">
        <v>130</v>
      </c>
      <c r="G16" s="2">
        <f t="shared" si="0"/>
        <v>7670</v>
      </c>
      <c r="I16" t="s">
        <v>92</v>
      </c>
      <c r="J16">
        <v>15</v>
      </c>
      <c r="K16" t="s">
        <v>10</v>
      </c>
    </row>
    <row r="17" spans="1:11" x14ac:dyDescent="0.25">
      <c r="A17" s="1">
        <v>7</v>
      </c>
      <c r="B17" s="17" t="s">
        <v>18</v>
      </c>
      <c r="C17" s="18"/>
      <c r="D17" s="1">
        <v>72</v>
      </c>
      <c r="E17" s="1" t="s">
        <v>16</v>
      </c>
      <c r="F17" s="2">
        <v>130</v>
      </c>
      <c r="G17" s="2">
        <f t="shared" si="0"/>
        <v>9360</v>
      </c>
      <c r="I17" t="s">
        <v>93</v>
      </c>
      <c r="J17">
        <v>22</v>
      </c>
      <c r="K17" t="s">
        <v>10</v>
      </c>
    </row>
    <row r="18" spans="1:11" x14ac:dyDescent="0.25">
      <c r="A18" s="1">
        <v>8</v>
      </c>
      <c r="B18" s="17" t="s">
        <v>19</v>
      </c>
      <c r="C18" s="18"/>
      <c r="D18" s="1">
        <v>86</v>
      </c>
      <c r="E18" s="1" t="s">
        <v>16</v>
      </c>
      <c r="F18" s="2">
        <v>130</v>
      </c>
      <c r="G18" s="2">
        <f t="shared" si="0"/>
        <v>11180</v>
      </c>
      <c r="I18" t="s">
        <v>94</v>
      </c>
      <c r="J18">
        <v>22</v>
      </c>
      <c r="K18" t="s">
        <v>10</v>
      </c>
    </row>
    <row r="19" spans="1:11" x14ac:dyDescent="0.25">
      <c r="A19" s="1">
        <v>9</v>
      </c>
      <c r="B19" s="17" t="s">
        <v>21</v>
      </c>
      <c r="C19" s="18"/>
      <c r="D19" s="1">
        <v>37.92</v>
      </c>
      <c r="E19" s="1" t="s">
        <v>16</v>
      </c>
      <c r="F19" s="2">
        <v>130</v>
      </c>
      <c r="G19" s="2">
        <f t="shared" si="0"/>
        <v>4929.6000000000004</v>
      </c>
      <c r="I19" t="s">
        <v>95</v>
      </c>
      <c r="J19">
        <v>3</v>
      </c>
      <c r="K19" t="s">
        <v>10</v>
      </c>
    </row>
    <row r="20" spans="1:11" x14ac:dyDescent="0.25">
      <c r="A20" s="6">
        <v>10</v>
      </c>
      <c r="B20" s="17" t="s">
        <v>22</v>
      </c>
      <c r="C20" s="18"/>
      <c r="D20" s="1">
        <v>3</v>
      </c>
      <c r="E20" s="1" t="s">
        <v>12</v>
      </c>
      <c r="F20" s="2">
        <v>215</v>
      </c>
      <c r="G20" s="2">
        <f t="shared" si="0"/>
        <v>645</v>
      </c>
      <c r="I20" t="s">
        <v>96</v>
      </c>
      <c r="J20">
        <v>14</v>
      </c>
      <c r="K20" t="s">
        <v>10</v>
      </c>
    </row>
    <row r="21" spans="1:11" x14ac:dyDescent="0.25">
      <c r="A21" s="6"/>
      <c r="B21" s="24" t="s">
        <v>24</v>
      </c>
      <c r="C21" s="25"/>
      <c r="D21" s="1"/>
      <c r="E21" s="1"/>
      <c r="F21" s="2"/>
      <c r="G21" s="2"/>
      <c r="I21" t="s">
        <v>97</v>
      </c>
      <c r="J21">
        <v>3</v>
      </c>
      <c r="K21" t="s">
        <v>10</v>
      </c>
    </row>
    <row r="22" spans="1:11" x14ac:dyDescent="0.25">
      <c r="A22" s="1">
        <v>11</v>
      </c>
      <c r="B22" s="17" t="s">
        <v>23</v>
      </c>
      <c r="C22" s="18"/>
      <c r="D22" s="1">
        <v>1</v>
      </c>
      <c r="E22" s="1" t="s">
        <v>5</v>
      </c>
      <c r="F22" s="2">
        <v>2450</v>
      </c>
      <c r="G22" s="2">
        <f t="shared" si="0"/>
        <v>2450</v>
      </c>
      <c r="I22" t="s">
        <v>98</v>
      </c>
      <c r="J22">
        <v>1</v>
      </c>
      <c r="K22" t="s">
        <v>10</v>
      </c>
    </row>
    <row r="23" spans="1:11" x14ac:dyDescent="0.25">
      <c r="A23" s="1">
        <v>12</v>
      </c>
      <c r="B23" s="17" t="s">
        <v>25</v>
      </c>
      <c r="C23" s="18"/>
      <c r="D23" s="1">
        <v>38.56</v>
      </c>
      <c r="E23" s="1" t="s">
        <v>16</v>
      </c>
      <c r="F23" s="2">
        <v>120</v>
      </c>
      <c r="G23" s="2">
        <f t="shared" si="0"/>
        <v>4627.2000000000007</v>
      </c>
      <c r="I23" t="s">
        <v>99</v>
      </c>
      <c r="J23">
        <v>8</v>
      </c>
      <c r="K23" t="s">
        <v>10</v>
      </c>
    </row>
    <row r="24" spans="1:11" x14ac:dyDescent="0.25">
      <c r="A24" s="1">
        <v>13</v>
      </c>
      <c r="B24" s="17" t="s">
        <v>26</v>
      </c>
      <c r="C24" s="18"/>
      <c r="D24" s="1">
        <v>6.8</v>
      </c>
      <c r="E24" s="1" t="s">
        <v>16</v>
      </c>
      <c r="F24" s="2">
        <v>135</v>
      </c>
      <c r="G24" s="2">
        <f t="shared" si="0"/>
        <v>918</v>
      </c>
      <c r="I24" t="s">
        <v>100</v>
      </c>
      <c r="J24">
        <v>13</v>
      </c>
      <c r="K24" t="s">
        <v>10</v>
      </c>
    </row>
    <row r="25" spans="1:11" x14ac:dyDescent="0.25">
      <c r="A25" s="1">
        <v>14</v>
      </c>
      <c r="B25" s="17" t="s">
        <v>27</v>
      </c>
      <c r="C25" s="18"/>
      <c r="D25" s="1">
        <v>9</v>
      </c>
      <c r="E25" s="1" t="s">
        <v>16</v>
      </c>
      <c r="F25" s="2">
        <v>120</v>
      </c>
      <c r="G25" s="2">
        <f t="shared" si="0"/>
        <v>1080</v>
      </c>
      <c r="I25" t="s">
        <v>101</v>
      </c>
      <c r="J25">
        <v>13</v>
      </c>
      <c r="K25" t="s">
        <v>10</v>
      </c>
    </row>
    <row r="26" spans="1:11" x14ac:dyDescent="0.25">
      <c r="A26" s="1">
        <v>15</v>
      </c>
      <c r="B26" s="17" t="s">
        <v>28</v>
      </c>
      <c r="C26" s="18"/>
      <c r="D26" s="1">
        <v>134</v>
      </c>
      <c r="E26" s="1" t="s">
        <v>16</v>
      </c>
      <c r="F26" s="2">
        <v>120</v>
      </c>
      <c r="G26" s="2">
        <f t="shared" si="0"/>
        <v>16080</v>
      </c>
      <c r="I26" t="s">
        <v>102</v>
      </c>
      <c r="J26">
        <v>8</v>
      </c>
      <c r="K26" t="s">
        <v>10</v>
      </c>
    </row>
    <row r="27" spans="1:11" x14ac:dyDescent="0.25">
      <c r="A27" s="1">
        <v>16</v>
      </c>
      <c r="B27" s="17" t="s">
        <v>29</v>
      </c>
      <c r="C27" s="18"/>
      <c r="D27" s="1">
        <v>69</v>
      </c>
      <c r="E27" s="1" t="s">
        <v>16</v>
      </c>
      <c r="F27" s="2">
        <v>135</v>
      </c>
      <c r="G27" s="2">
        <f t="shared" si="0"/>
        <v>9315</v>
      </c>
      <c r="I27" t="s">
        <v>103</v>
      </c>
      <c r="J27">
        <v>8</v>
      </c>
      <c r="K27" t="s">
        <v>10</v>
      </c>
    </row>
    <row r="28" spans="1:11" x14ac:dyDescent="0.25">
      <c r="A28" s="1"/>
      <c r="B28" s="17" t="s">
        <v>36</v>
      </c>
      <c r="C28" s="18"/>
      <c r="D28" s="1">
        <v>14</v>
      </c>
      <c r="E28" s="1" t="s">
        <v>12</v>
      </c>
      <c r="F28" s="2">
        <v>195</v>
      </c>
      <c r="G28" s="2">
        <f t="shared" si="0"/>
        <v>2730</v>
      </c>
      <c r="I28" t="s">
        <v>104</v>
      </c>
      <c r="J28">
        <v>7</v>
      </c>
      <c r="K28" t="s">
        <v>105</v>
      </c>
    </row>
    <row r="29" spans="1:11" x14ac:dyDescent="0.25">
      <c r="A29" s="1">
        <v>17</v>
      </c>
      <c r="B29" s="17" t="s">
        <v>30</v>
      </c>
      <c r="C29" s="18"/>
      <c r="D29" s="1">
        <v>5</v>
      </c>
      <c r="E29" s="1" t="s">
        <v>6</v>
      </c>
      <c r="F29" s="2">
        <v>120</v>
      </c>
      <c r="G29" s="2">
        <f t="shared" si="0"/>
        <v>600</v>
      </c>
      <c r="I29" t="s">
        <v>106</v>
      </c>
      <c r="J29">
        <v>7</v>
      </c>
      <c r="K29" t="s">
        <v>105</v>
      </c>
    </row>
    <row r="30" spans="1:11" x14ac:dyDescent="0.25">
      <c r="A30" s="1">
        <v>18</v>
      </c>
      <c r="B30" s="13" t="s">
        <v>31</v>
      </c>
      <c r="C30" s="13"/>
      <c r="D30" s="1">
        <v>4</v>
      </c>
      <c r="E30" s="1" t="s">
        <v>16</v>
      </c>
      <c r="F30" s="2">
        <v>135</v>
      </c>
      <c r="G30" s="2">
        <f t="shared" si="0"/>
        <v>540</v>
      </c>
      <c r="I30" t="s">
        <v>107</v>
      </c>
      <c r="J30">
        <v>4</v>
      </c>
      <c r="K30" t="s">
        <v>105</v>
      </c>
    </row>
    <row r="31" spans="1:11" x14ac:dyDescent="0.25">
      <c r="A31" s="1">
        <v>19</v>
      </c>
      <c r="B31" s="13" t="s">
        <v>32</v>
      </c>
      <c r="C31" s="13"/>
      <c r="D31" s="1">
        <v>32</v>
      </c>
      <c r="E31" s="1" t="s">
        <v>16</v>
      </c>
      <c r="F31" s="2">
        <v>120</v>
      </c>
      <c r="G31" s="2">
        <f t="shared" si="0"/>
        <v>3840</v>
      </c>
      <c r="I31" t="s">
        <v>108</v>
      </c>
      <c r="J31">
        <v>3</v>
      </c>
      <c r="K31" t="s">
        <v>105</v>
      </c>
    </row>
    <row r="32" spans="1:11" x14ac:dyDescent="0.25">
      <c r="A32" s="1">
        <v>20</v>
      </c>
      <c r="B32" s="13" t="s">
        <v>33</v>
      </c>
      <c r="C32" s="13"/>
      <c r="D32" s="1">
        <v>17</v>
      </c>
      <c r="E32" s="1" t="s">
        <v>16</v>
      </c>
      <c r="F32" s="2">
        <v>120</v>
      </c>
      <c r="G32" s="2">
        <f t="shared" si="0"/>
        <v>2040</v>
      </c>
      <c r="I32" t="s">
        <v>109</v>
      </c>
      <c r="J32">
        <v>3</v>
      </c>
      <c r="K32" t="s">
        <v>105</v>
      </c>
    </row>
    <row r="33" spans="1:11" x14ac:dyDescent="0.25">
      <c r="A33" s="1">
        <v>21</v>
      </c>
      <c r="B33" s="13" t="s">
        <v>34</v>
      </c>
      <c r="C33" s="13"/>
      <c r="D33" s="1">
        <v>56</v>
      </c>
      <c r="E33" s="1" t="s">
        <v>16</v>
      </c>
      <c r="F33" s="2">
        <v>120</v>
      </c>
      <c r="G33" s="2">
        <f t="shared" si="0"/>
        <v>6720</v>
      </c>
      <c r="I33" t="s">
        <v>110</v>
      </c>
      <c r="J33">
        <v>5</v>
      </c>
      <c r="K33" t="s">
        <v>105</v>
      </c>
    </row>
    <row r="34" spans="1:11" x14ac:dyDescent="0.25">
      <c r="A34" s="1">
        <v>22</v>
      </c>
      <c r="B34" s="14" t="s">
        <v>35</v>
      </c>
      <c r="C34" s="15"/>
      <c r="D34" s="1">
        <v>21</v>
      </c>
      <c r="E34" s="1" t="s">
        <v>12</v>
      </c>
      <c r="F34" s="2">
        <v>195</v>
      </c>
      <c r="G34" s="2">
        <f t="shared" si="0"/>
        <v>4095</v>
      </c>
    </row>
    <row r="35" spans="1:11" x14ac:dyDescent="0.25">
      <c r="A35" s="1">
        <v>23</v>
      </c>
      <c r="B35" s="13" t="s">
        <v>37</v>
      </c>
      <c r="C35" s="13"/>
      <c r="D35" s="1">
        <v>68</v>
      </c>
      <c r="E35" s="1" t="s">
        <v>16</v>
      </c>
      <c r="F35" s="2">
        <v>120</v>
      </c>
      <c r="G35" s="2">
        <f t="shared" si="0"/>
        <v>8160</v>
      </c>
    </row>
    <row r="36" spans="1:11" x14ac:dyDescent="0.25">
      <c r="A36" s="1">
        <v>24</v>
      </c>
      <c r="B36" s="13" t="s">
        <v>38</v>
      </c>
      <c r="C36" s="13"/>
      <c r="D36" s="1">
        <v>31</v>
      </c>
      <c r="E36" s="1" t="s">
        <v>6</v>
      </c>
      <c r="F36" s="2">
        <v>135</v>
      </c>
      <c r="G36" s="2">
        <f t="shared" si="0"/>
        <v>4185</v>
      </c>
    </row>
    <row r="37" spans="1:11" x14ac:dyDescent="0.25">
      <c r="A37" s="1">
        <v>25</v>
      </c>
      <c r="B37" s="13" t="s">
        <v>39</v>
      </c>
      <c r="C37" s="13"/>
      <c r="D37" s="1">
        <v>5</v>
      </c>
      <c r="E37" s="1" t="s">
        <v>12</v>
      </c>
      <c r="F37" s="2">
        <v>195</v>
      </c>
      <c r="G37" s="2">
        <f t="shared" si="0"/>
        <v>975</v>
      </c>
    </row>
    <row r="38" spans="1:11" x14ac:dyDescent="0.25">
      <c r="A38" s="1">
        <v>26</v>
      </c>
      <c r="B38" s="13" t="s">
        <v>40</v>
      </c>
      <c r="C38" s="13"/>
      <c r="D38" s="1">
        <v>17</v>
      </c>
      <c r="E38" s="1" t="s">
        <v>12</v>
      </c>
      <c r="F38" s="2">
        <v>195</v>
      </c>
      <c r="G38" s="2">
        <f t="shared" ref="G38:G52" si="1">D38*F38</f>
        <v>3315</v>
      </c>
    </row>
    <row r="39" spans="1:11" x14ac:dyDescent="0.25">
      <c r="A39" s="1">
        <v>27</v>
      </c>
      <c r="B39" s="14" t="s">
        <v>41</v>
      </c>
      <c r="C39" s="15"/>
      <c r="D39" s="1">
        <v>9.1</v>
      </c>
      <c r="E39" s="1" t="s">
        <v>6</v>
      </c>
      <c r="F39" s="2">
        <v>120</v>
      </c>
      <c r="G39" s="2">
        <f t="shared" si="1"/>
        <v>1092</v>
      </c>
    </row>
    <row r="40" spans="1:11" x14ac:dyDescent="0.25">
      <c r="A40" s="1">
        <v>28</v>
      </c>
      <c r="B40" s="14" t="s">
        <v>42</v>
      </c>
      <c r="C40" s="15"/>
      <c r="D40" s="1">
        <v>4.5</v>
      </c>
      <c r="E40" s="1" t="s">
        <v>16</v>
      </c>
      <c r="F40" s="2">
        <v>135</v>
      </c>
      <c r="G40" s="2">
        <f t="shared" si="1"/>
        <v>607.5</v>
      </c>
    </row>
    <row r="41" spans="1:11" x14ac:dyDescent="0.25">
      <c r="A41" s="1">
        <v>29</v>
      </c>
      <c r="B41" s="14" t="s">
        <v>43</v>
      </c>
      <c r="C41" s="15"/>
      <c r="D41" s="1">
        <v>10</v>
      </c>
      <c r="E41" s="1" t="s">
        <v>16</v>
      </c>
      <c r="F41" s="2">
        <v>250</v>
      </c>
      <c r="G41" s="2">
        <f t="shared" si="1"/>
        <v>2500</v>
      </c>
    </row>
    <row r="42" spans="1:11" x14ac:dyDescent="0.25">
      <c r="A42" s="1">
        <v>30</v>
      </c>
      <c r="B42" s="14" t="s">
        <v>58</v>
      </c>
      <c r="C42" s="15"/>
      <c r="D42" s="1">
        <v>1</v>
      </c>
      <c r="E42" s="1" t="s">
        <v>5</v>
      </c>
      <c r="F42" s="2">
        <v>2300</v>
      </c>
      <c r="G42" s="2">
        <f t="shared" si="1"/>
        <v>2300</v>
      </c>
    </row>
    <row r="43" spans="1:11" x14ac:dyDescent="0.25">
      <c r="A43" s="1"/>
      <c r="B43" s="14" t="s">
        <v>44</v>
      </c>
      <c r="C43" s="15"/>
      <c r="D43" s="1"/>
      <c r="E43" s="1"/>
      <c r="F43" s="2"/>
      <c r="G43" s="2"/>
    </row>
    <row r="44" spans="1:11" x14ac:dyDescent="0.25">
      <c r="A44" s="1">
        <v>31</v>
      </c>
      <c r="B44" s="13" t="s">
        <v>45</v>
      </c>
      <c r="C44" s="13"/>
      <c r="D44" s="1">
        <v>36</v>
      </c>
      <c r="E44" s="1" t="s">
        <v>10</v>
      </c>
      <c r="F44" s="3">
        <v>200</v>
      </c>
      <c r="G44" s="2">
        <f t="shared" si="1"/>
        <v>7200</v>
      </c>
      <c r="I44">
        <f>SUM(D23)</f>
        <v>38.56</v>
      </c>
    </row>
    <row r="45" spans="1:11" x14ac:dyDescent="0.25">
      <c r="A45" s="1"/>
      <c r="B45" s="14" t="s">
        <v>58</v>
      </c>
      <c r="C45" s="15"/>
      <c r="D45" s="1">
        <v>1</v>
      </c>
      <c r="E45" s="1" t="s">
        <v>5</v>
      </c>
      <c r="F45" s="3">
        <v>2300</v>
      </c>
      <c r="G45" s="2">
        <f t="shared" si="1"/>
        <v>2300</v>
      </c>
    </row>
    <row r="46" spans="1:11" x14ac:dyDescent="0.25">
      <c r="A46" s="1">
        <v>32</v>
      </c>
      <c r="B46" s="13" t="s">
        <v>46</v>
      </c>
      <c r="C46" s="13"/>
      <c r="D46" s="1">
        <v>18</v>
      </c>
      <c r="E46" s="1" t="s">
        <v>16</v>
      </c>
      <c r="F46" s="3">
        <v>120</v>
      </c>
      <c r="G46" s="3">
        <f t="shared" si="1"/>
        <v>2160</v>
      </c>
    </row>
    <row r="47" spans="1:11" x14ac:dyDescent="0.25">
      <c r="A47" s="1">
        <v>33</v>
      </c>
      <c r="B47" s="13" t="s">
        <v>47</v>
      </c>
      <c r="C47" s="13"/>
      <c r="D47" s="1">
        <v>6</v>
      </c>
      <c r="E47" s="1" t="s">
        <v>12</v>
      </c>
      <c r="F47" s="3">
        <v>195</v>
      </c>
      <c r="G47" s="3">
        <f t="shared" si="1"/>
        <v>1170</v>
      </c>
    </row>
    <row r="48" spans="1:11" x14ac:dyDescent="0.25">
      <c r="A48" s="1">
        <v>34</v>
      </c>
      <c r="B48" s="13" t="s">
        <v>48</v>
      </c>
      <c r="C48" s="13"/>
      <c r="D48" s="1">
        <v>12.65</v>
      </c>
      <c r="E48" s="1" t="s">
        <v>16</v>
      </c>
      <c r="F48" s="3">
        <v>120</v>
      </c>
      <c r="G48" s="3">
        <f t="shared" si="1"/>
        <v>1518</v>
      </c>
    </row>
    <row r="49" spans="1:7" x14ac:dyDescent="0.25">
      <c r="A49" s="1">
        <v>35</v>
      </c>
      <c r="B49" s="13" t="s">
        <v>49</v>
      </c>
      <c r="C49" s="13"/>
      <c r="D49" s="1">
        <v>8</v>
      </c>
      <c r="E49" s="1" t="s">
        <v>16</v>
      </c>
      <c r="F49" s="3">
        <v>120</v>
      </c>
      <c r="G49" s="3">
        <f t="shared" si="1"/>
        <v>960</v>
      </c>
    </row>
    <row r="50" spans="1:7" x14ac:dyDescent="0.25">
      <c r="A50" s="1">
        <v>36</v>
      </c>
      <c r="B50" s="13" t="s">
        <v>50</v>
      </c>
      <c r="C50" s="13"/>
      <c r="D50" s="1">
        <v>5</v>
      </c>
      <c r="E50" s="1" t="s">
        <v>16</v>
      </c>
      <c r="F50" s="3">
        <v>135</v>
      </c>
      <c r="G50" s="3">
        <f t="shared" si="1"/>
        <v>675</v>
      </c>
    </row>
    <row r="51" spans="1:7" x14ac:dyDescent="0.25">
      <c r="A51" s="1">
        <v>37</v>
      </c>
      <c r="B51" s="13" t="s">
        <v>51</v>
      </c>
      <c r="C51" s="13"/>
      <c r="D51" s="1">
        <v>6</v>
      </c>
      <c r="E51" s="1" t="s">
        <v>16</v>
      </c>
      <c r="F51" s="3">
        <v>145</v>
      </c>
      <c r="G51" s="3">
        <f t="shared" si="1"/>
        <v>870</v>
      </c>
    </row>
    <row r="52" spans="1:7" x14ac:dyDescent="0.25">
      <c r="A52" s="1">
        <v>38</v>
      </c>
      <c r="B52" s="13" t="s">
        <v>52</v>
      </c>
      <c r="C52" s="13"/>
      <c r="D52" s="1">
        <v>1</v>
      </c>
      <c r="E52" s="1" t="s">
        <v>10</v>
      </c>
      <c r="F52" s="3">
        <v>800</v>
      </c>
      <c r="G52" s="3">
        <f t="shared" si="1"/>
        <v>800</v>
      </c>
    </row>
    <row r="53" spans="1:7" x14ac:dyDescent="0.25">
      <c r="A53" s="1">
        <v>39</v>
      </c>
      <c r="B53" s="13" t="s">
        <v>53</v>
      </c>
      <c r="C53" s="13"/>
      <c r="D53" s="1">
        <v>29.5</v>
      </c>
      <c r="E53" s="1" t="s">
        <v>16</v>
      </c>
      <c r="F53" s="2">
        <v>120</v>
      </c>
      <c r="G53" s="3">
        <f t="shared" ref="G53:G54" si="2">D53*F53</f>
        <v>3540</v>
      </c>
    </row>
    <row r="54" spans="1:7" x14ac:dyDescent="0.25">
      <c r="A54" s="1">
        <v>40</v>
      </c>
      <c r="B54" s="13" t="s">
        <v>54</v>
      </c>
      <c r="C54" s="13"/>
      <c r="D54" s="1">
        <v>24</v>
      </c>
      <c r="E54" s="1" t="s">
        <v>12</v>
      </c>
      <c r="F54" s="3">
        <v>195</v>
      </c>
      <c r="G54" s="3">
        <f t="shared" si="2"/>
        <v>4680</v>
      </c>
    </row>
    <row r="55" spans="1:7" x14ac:dyDescent="0.25">
      <c r="A55" s="1">
        <v>41</v>
      </c>
      <c r="B55" s="13" t="s">
        <v>55</v>
      </c>
      <c r="C55" s="13"/>
      <c r="D55" s="1">
        <v>10</v>
      </c>
      <c r="E55" s="1" t="s">
        <v>16</v>
      </c>
      <c r="F55" s="3">
        <v>120</v>
      </c>
      <c r="G55" s="3">
        <f t="shared" ref="G55" si="3">D55*F55</f>
        <v>1200</v>
      </c>
    </row>
    <row r="56" spans="1:7" x14ac:dyDescent="0.25">
      <c r="A56" s="1">
        <v>42</v>
      </c>
      <c r="B56" s="13" t="s">
        <v>59</v>
      </c>
      <c r="C56" s="13"/>
      <c r="D56" s="1">
        <v>1</v>
      </c>
      <c r="E56" s="1" t="s">
        <v>10</v>
      </c>
      <c r="F56" s="3">
        <v>125</v>
      </c>
      <c r="G56" s="3">
        <f t="shared" ref="G56:G86" si="4">D56*F56</f>
        <v>125</v>
      </c>
    </row>
    <row r="57" spans="1:7" x14ac:dyDescent="0.25">
      <c r="A57" s="1">
        <v>43</v>
      </c>
      <c r="B57" s="14" t="s">
        <v>58</v>
      </c>
      <c r="C57" s="15"/>
      <c r="D57" s="1">
        <v>1</v>
      </c>
      <c r="E57" s="1" t="s">
        <v>5</v>
      </c>
      <c r="F57" s="2">
        <v>2300</v>
      </c>
      <c r="G57" s="2">
        <f t="shared" si="4"/>
        <v>2300</v>
      </c>
    </row>
    <row r="58" spans="1:7" x14ac:dyDescent="0.25">
      <c r="A58" s="1">
        <v>44</v>
      </c>
      <c r="B58" s="13" t="s">
        <v>60</v>
      </c>
      <c r="C58" s="13"/>
      <c r="D58" s="1">
        <v>36</v>
      </c>
      <c r="E58" s="1" t="s">
        <v>10</v>
      </c>
      <c r="F58" s="3">
        <v>70</v>
      </c>
      <c r="G58" s="3">
        <f t="shared" si="4"/>
        <v>2520</v>
      </c>
    </row>
    <row r="59" spans="1:7" x14ac:dyDescent="0.25">
      <c r="A59" s="1">
        <v>45</v>
      </c>
      <c r="B59" s="13" t="s">
        <v>61</v>
      </c>
      <c r="C59" s="13"/>
      <c r="D59" s="1">
        <v>1</v>
      </c>
      <c r="E59" s="1" t="s">
        <v>10</v>
      </c>
      <c r="F59" s="3">
        <v>370</v>
      </c>
      <c r="G59" s="3">
        <f t="shared" si="4"/>
        <v>370</v>
      </c>
    </row>
    <row r="60" spans="1:7" x14ac:dyDescent="0.25">
      <c r="A60" s="1">
        <v>46</v>
      </c>
      <c r="B60" s="13" t="s">
        <v>62</v>
      </c>
      <c r="C60" s="13"/>
      <c r="D60" s="1">
        <v>6</v>
      </c>
      <c r="E60" s="1" t="s">
        <v>10</v>
      </c>
      <c r="F60" s="3">
        <v>200</v>
      </c>
      <c r="G60" s="3">
        <f t="shared" si="4"/>
        <v>1200</v>
      </c>
    </row>
    <row r="61" spans="1:7" x14ac:dyDescent="0.25">
      <c r="A61" s="1">
        <v>47</v>
      </c>
      <c r="B61" s="13" t="s">
        <v>63</v>
      </c>
      <c r="C61" s="13"/>
      <c r="D61" s="1">
        <v>15</v>
      </c>
      <c r="E61" s="1" t="s">
        <v>10</v>
      </c>
      <c r="F61" s="3">
        <v>200</v>
      </c>
      <c r="G61" s="3">
        <f t="shared" si="4"/>
        <v>3000</v>
      </c>
    </row>
    <row r="62" spans="1:7" x14ac:dyDescent="0.25">
      <c r="A62" s="1">
        <v>48</v>
      </c>
      <c r="B62" s="13" t="s">
        <v>64</v>
      </c>
      <c r="C62" s="13"/>
      <c r="D62" s="1">
        <v>18</v>
      </c>
      <c r="E62" s="1" t="s">
        <v>10</v>
      </c>
      <c r="F62" s="3">
        <v>110</v>
      </c>
      <c r="G62" s="3">
        <f t="shared" si="4"/>
        <v>1980</v>
      </c>
    </row>
    <row r="63" spans="1:7" x14ac:dyDescent="0.25">
      <c r="A63" s="1">
        <v>49</v>
      </c>
      <c r="B63" s="13" t="s">
        <v>65</v>
      </c>
      <c r="C63" s="13"/>
      <c r="D63" s="1">
        <v>1</v>
      </c>
      <c r="E63" s="1" t="s">
        <v>5</v>
      </c>
      <c r="F63" s="3">
        <v>2400</v>
      </c>
      <c r="G63" s="3">
        <f t="shared" si="4"/>
        <v>2400</v>
      </c>
    </row>
    <row r="64" spans="1:7" x14ac:dyDescent="0.25">
      <c r="A64" s="1">
        <v>50</v>
      </c>
      <c r="B64" s="13" t="s">
        <v>66</v>
      </c>
      <c r="C64" s="13"/>
      <c r="D64" s="1">
        <v>1</v>
      </c>
      <c r="E64" s="1" t="s">
        <v>5</v>
      </c>
      <c r="F64" s="3">
        <v>2950</v>
      </c>
      <c r="G64" s="3">
        <f t="shared" si="4"/>
        <v>2950</v>
      </c>
    </row>
    <row r="65" spans="1:8" x14ac:dyDescent="0.25">
      <c r="A65" s="1">
        <v>51</v>
      </c>
      <c r="B65" s="13" t="s">
        <v>67</v>
      </c>
      <c r="C65" s="13"/>
      <c r="D65" s="1">
        <v>1</v>
      </c>
      <c r="E65" s="1" t="s">
        <v>10</v>
      </c>
      <c r="F65" s="3">
        <v>700</v>
      </c>
      <c r="G65" s="3">
        <f t="shared" si="4"/>
        <v>700</v>
      </c>
    </row>
    <row r="66" spans="1:8" x14ac:dyDescent="0.25">
      <c r="A66" s="1">
        <v>52</v>
      </c>
      <c r="B66" s="13" t="s">
        <v>68</v>
      </c>
      <c r="C66" s="13"/>
      <c r="D66" s="1">
        <v>37</v>
      </c>
      <c r="E66" s="1" t="s">
        <v>10</v>
      </c>
      <c r="F66" s="3">
        <v>70</v>
      </c>
      <c r="G66" s="3">
        <f t="shared" si="4"/>
        <v>2590</v>
      </c>
    </row>
    <row r="67" spans="1:8" x14ac:dyDescent="0.25">
      <c r="A67" s="1">
        <v>53</v>
      </c>
      <c r="B67" s="13" t="s">
        <v>69</v>
      </c>
      <c r="C67" s="13"/>
      <c r="D67" s="1">
        <v>71</v>
      </c>
      <c r="E67" s="1" t="s">
        <v>16</v>
      </c>
      <c r="F67" s="3">
        <v>130</v>
      </c>
      <c r="G67" s="3">
        <f t="shared" si="4"/>
        <v>9230</v>
      </c>
    </row>
    <row r="68" spans="1:8" x14ac:dyDescent="0.25">
      <c r="A68" s="1">
        <v>54</v>
      </c>
      <c r="B68" s="13" t="s">
        <v>70</v>
      </c>
      <c r="C68" s="13"/>
      <c r="D68" s="1">
        <v>1</v>
      </c>
      <c r="E68" s="1" t="s">
        <v>5</v>
      </c>
      <c r="F68" s="3">
        <v>900</v>
      </c>
      <c r="G68" s="3">
        <f t="shared" si="4"/>
        <v>900</v>
      </c>
    </row>
    <row r="69" spans="1:8" x14ac:dyDescent="0.25">
      <c r="A69" s="1">
        <v>55</v>
      </c>
      <c r="B69" s="13" t="s">
        <v>71</v>
      </c>
      <c r="C69" s="13"/>
      <c r="D69" s="1">
        <v>97.5</v>
      </c>
      <c r="E69" s="1" t="s">
        <v>16</v>
      </c>
      <c r="F69" s="3">
        <v>130</v>
      </c>
      <c r="G69" s="3">
        <f t="shared" si="4"/>
        <v>12675</v>
      </c>
    </row>
    <row r="70" spans="1:8" x14ac:dyDescent="0.25">
      <c r="A70" s="1">
        <v>56</v>
      </c>
      <c r="B70" s="13" t="s">
        <v>72</v>
      </c>
      <c r="C70" s="13"/>
      <c r="D70" s="1">
        <v>2</v>
      </c>
      <c r="E70" s="1" t="s">
        <v>10</v>
      </c>
      <c r="F70" s="3">
        <v>250</v>
      </c>
      <c r="G70" s="3">
        <f t="shared" si="4"/>
        <v>500</v>
      </c>
    </row>
    <row r="71" spans="1:8" x14ac:dyDescent="0.25">
      <c r="A71" s="1">
        <v>57</v>
      </c>
      <c r="B71" s="13" t="s">
        <v>73</v>
      </c>
      <c r="C71" s="13"/>
      <c r="D71" s="1">
        <v>1</v>
      </c>
      <c r="E71" s="1" t="s">
        <v>10</v>
      </c>
      <c r="F71" s="3">
        <v>350</v>
      </c>
      <c r="G71" s="3">
        <f t="shared" si="4"/>
        <v>350</v>
      </c>
    </row>
    <row r="72" spans="1:8" x14ac:dyDescent="0.25">
      <c r="A72" s="1">
        <v>58</v>
      </c>
      <c r="B72" s="13" t="s">
        <v>56</v>
      </c>
      <c r="C72" s="13"/>
      <c r="D72" s="1">
        <v>27</v>
      </c>
      <c r="E72" s="1" t="s">
        <v>57</v>
      </c>
      <c r="F72" s="3">
        <v>137</v>
      </c>
      <c r="G72" s="3">
        <f t="shared" si="4"/>
        <v>3699</v>
      </c>
    </row>
    <row r="73" spans="1:8" x14ac:dyDescent="0.25">
      <c r="A73" s="1">
        <v>59</v>
      </c>
      <c r="B73" s="13" t="s">
        <v>74</v>
      </c>
      <c r="C73" s="13"/>
      <c r="D73" s="1">
        <v>6</v>
      </c>
      <c r="E73" s="1" t="s">
        <v>16</v>
      </c>
      <c r="F73" s="3">
        <v>645</v>
      </c>
      <c r="G73" s="3">
        <f t="shared" si="4"/>
        <v>3870</v>
      </c>
    </row>
    <row r="74" spans="1:8" x14ac:dyDescent="0.25">
      <c r="A74" s="1">
        <v>60</v>
      </c>
      <c r="B74" s="13" t="s">
        <v>75</v>
      </c>
      <c r="C74" s="13"/>
      <c r="D74" s="1">
        <v>6</v>
      </c>
      <c r="E74" s="1" t="s">
        <v>16</v>
      </c>
      <c r="F74" s="3">
        <v>867</v>
      </c>
      <c r="G74" s="3">
        <f t="shared" si="4"/>
        <v>5202</v>
      </c>
    </row>
    <row r="75" spans="1:8" x14ac:dyDescent="0.25">
      <c r="A75" s="1">
        <v>61</v>
      </c>
      <c r="B75" s="13" t="s">
        <v>77</v>
      </c>
      <c r="C75" s="13"/>
      <c r="D75" s="1">
        <v>1</v>
      </c>
      <c r="E75" s="1" t="s">
        <v>5</v>
      </c>
      <c r="F75" s="3">
        <v>6400</v>
      </c>
      <c r="G75" s="3">
        <f t="shared" si="4"/>
        <v>6400</v>
      </c>
    </row>
    <row r="76" spans="1:8" x14ac:dyDescent="0.25">
      <c r="A76" s="1">
        <v>62</v>
      </c>
      <c r="B76" s="13" t="s">
        <v>76</v>
      </c>
      <c r="C76" s="13"/>
      <c r="D76" s="1"/>
      <c r="E76" s="1"/>
      <c r="F76" s="3"/>
      <c r="G76" s="3">
        <f t="shared" si="4"/>
        <v>0</v>
      </c>
    </row>
    <row r="77" spans="1:8" x14ac:dyDescent="0.25">
      <c r="A77" s="1">
        <v>63</v>
      </c>
      <c r="B77" s="13" t="s">
        <v>78</v>
      </c>
      <c r="C77" s="13"/>
      <c r="D77" s="1"/>
      <c r="E77" s="1"/>
      <c r="F77" s="3"/>
      <c r="G77" s="3">
        <f t="shared" si="4"/>
        <v>0</v>
      </c>
    </row>
    <row r="78" spans="1:8" x14ac:dyDescent="0.25">
      <c r="A78" s="1">
        <v>64</v>
      </c>
      <c r="B78" s="13" t="s">
        <v>79</v>
      </c>
      <c r="C78" s="13"/>
      <c r="D78" s="1">
        <v>13</v>
      </c>
      <c r="E78" s="1" t="s">
        <v>12</v>
      </c>
      <c r="F78" s="3">
        <v>200</v>
      </c>
      <c r="G78" s="3">
        <f t="shared" si="4"/>
        <v>2600</v>
      </c>
      <c r="H78" t="s">
        <v>80</v>
      </c>
    </row>
    <row r="79" spans="1:8" x14ac:dyDescent="0.25">
      <c r="A79" s="1">
        <v>65</v>
      </c>
      <c r="B79" s="13" t="s">
        <v>81</v>
      </c>
      <c r="C79" s="13"/>
      <c r="D79" s="1">
        <v>114</v>
      </c>
      <c r="E79" s="1" t="s">
        <v>16</v>
      </c>
      <c r="F79" s="3">
        <v>100</v>
      </c>
      <c r="G79" s="3">
        <f t="shared" si="4"/>
        <v>11400</v>
      </c>
    </row>
    <row r="80" spans="1:8" x14ac:dyDescent="0.25">
      <c r="B80" s="13" t="s">
        <v>82</v>
      </c>
      <c r="C80" s="13"/>
      <c r="D80" s="1">
        <v>93</v>
      </c>
      <c r="E80" s="1" t="s">
        <v>12</v>
      </c>
      <c r="F80" s="3">
        <v>100</v>
      </c>
      <c r="G80" s="3">
        <f t="shared" si="4"/>
        <v>9300</v>
      </c>
    </row>
    <row r="81" spans="2:7" x14ac:dyDescent="0.25">
      <c r="B81" s="13" t="s">
        <v>83</v>
      </c>
      <c r="C81" s="13"/>
      <c r="D81" s="1">
        <v>207</v>
      </c>
      <c r="E81" s="1" t="s">
        <v>16</v>
      </c>
      <c r="F81" s="3">
        <v>70</v>
      </c>
      <c r="G81" s="3">
        <f t="shared" si="4"/>
        <v>14490</v>
      </c>
    </row>
    <row r="82" spans="2:7" x14ac:dyDescent="0.25">
      <c r="B82" s="13" t="s">
        <v>84</v>
      </c>
      <c r="C82" s="13"/>
      <c r="D82" s="1">
        <v>1</v>
      </c>
      <c r="E82" s="1" t="s">
        <v>10</v>
      </c>
      <c r="F82" s="3">
        <v>500</v>
      </c>
      <c r="G82" s="3">
        <f t="shared" si="4"/>
        <v>500</v>
      </c>
    </row>
    <row r="83" spans="2:7" x14ac:dyDescent="0.25">
      <c r="B83" s="13" t="s">
        <v>85</v>
      </c>
      <c r="C83" s="13"/>
      <c r="D83" s="1">
        <v>1</v>
      </c>
      <c r="E83" s="1" t="s">
        <v>10</v>
      </c>
      <c r="F83" s="3">
        <v>150</v>
      </c>
      <c r="G83" s="3">
        <f t="shared" si="4"/>
        <v>150</v>
      </c>
    </row>
    <row r="84" spans="2:7" x14ac:dyDescent="0.25">
      <c r="B84" s="13"/>
      <c r="C84" s="13"/>
      <c r="D84" s="1"/>
      <c r="E84" s="1"/>
      <c r="F84" s="3"/>
      <c r="G84" s="3">
        <f t="shared" si="4"/>
        <v>0</v>
      </c>
    </row>
    <row r="85" spans="2:7" x14ac:dyDescent="0.25">
      <c r="B85" s="13"/>
      <c r="C85" s="13"/>
      <c r="D85" s="1"/>
      <c r="E85" s="1"/>
      <c r="F85" s="3"/>
      <c r="G85" s="3">
        <f t="shared" si="4"/>
        <v>0</v>
      </c>
    </row>
    <row r="86" spans="2:7" x14ac:dyDescent="0.25">
      <c r="B86" s="13"/>
      <c r="C86" s="13"/>
      <c r="D86" s="1"/>
      <c r="E86" s="1"/>
      <c r="F86" s="3"/>
      <c r="G86" s="3">
        <f t="shared" si="4"/>
        <v>0</v>
      </c>
    </row>
    <row r="89" spans="2:7" x14ac:dyDescent="0.25">
      <c r="G89" s="12">
        <f>SUM(G44:G88)</f>
        <v>128474</v>
      </c>
    </row>
  </sheetData>
  <mergeCells count="81">
    <mergeCell ref="B55:C55"/>
    <mergeCell ref="B50:C50"/>
    <mergeCell ref="B51:C51"/>
    <mergeCell ref="B52:C52"/>
    <mergeCell ref="B53:C53"/>
    <mergeCell ref="B54:C54"/>
    <mergeCell ref="B44:C44"/>
    <mergeCell ref="B46:C46"/>
    <mergeCell ref="B47:C47"/>
    <mergeCell ref="B48:C48"/>
    <mergeCell ref="B49:C49"/>
    <mergeCell ref="A7:G7"/>
    <mergeCell ref="A8:G8"/>
    <mergeCell ref="A9:C9"/>
    <mergeCell ref="B11:C11"/>
    <mergeCell ref="B12:C12"/>
    <mergeCell ref="B40:C40"/>
    <mergeCell ref="B41:C41"/>
    <mergeCell ref="B35:C35"/>
    <mergeCell ref="B36:C36"/>
    <mergeCell ref="B13:C13"/>
    <mergeCell ref="B14:C14"/>
    <mergeCell ref="B15:C15"/>
    <mergeCell ref="B16:C16"/>
    <mergeCell ref="B17:C17"/>
    <mergeCell ref="B18:C18"/>
    <mergeCell ref="B19:C19"/>
    <mergeCell ref="B20:C20"/>
    <mergeCell ref="B23:C23"/>
    <mergeCell ref="B22:C22"/>
    <mergeCell ref="B21:C21"/>
    <mergeCell ref="B28:C28"/>
    <mergeCell ref="B56:C56"/>
    <mergeCell ref="B57:C57"/>
    <mergeCell ref="B24:C24"/>
    <mergeCell ref="B31:C31"/>
    <mergeCell ref="B32:C32"/>
    <mergeCell ref="B33:C33"/>
    <mergeCell ref="B30:C30"/>
    <mergeCell ref="B25:C25"/>
    <mergeCell ref="B26:C26"/>
    <mergeCell ref="B27:C27"/>
    <mergeCell ref="B29:C29"/>
    <mergeCell ref="B38:C38"/>
    <mergeCell ref="B34:C34"/>
    <mergeCell ref="B37:C37"/>
    <mergeCell ref="B42:C42"/>
    <mergeCell ref="B39:C39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76:C76"/>
    <mergeCell ref="B77:C77"/>
    <mergeCell ref="B68:C68"/>
    <mergeCell ref="B69:C69"/>
    <mergeCell ref="B70:C70"/>
    <mergeCell ref="B71:C71"/>
    <mergeCell ref="B72:C72"/>
    <mergeCell ref="B86:C86"/>
    <mergeCell ref="J9:M9"/>
    <mergeCell ref="I11:K11"/>
    <mergeCell ref="B81:C81"/>
    <mergeCell ref="B82:C82"/>
    <mergeCell ref="B83:C83"/>
    <mergeCell ref="B84:C84"/>
    <mergeCell ref="B85:C85"/>
    <mergeCell ref="B78:C78"/>
    <mergeCell ref="B79:C79"/>
    <mergeCell ref="B45:C45"/>
    <mergeCell ref="B43:C43"/>
    <mergeCell ref="B80:C80"/>
    <mergeCell ref="B73:C73"/>
    <mergeCell ref="B74:C74"/>
    <mergeCell ref="B75:C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7"/>
  <sheetViews>
    <sheetView topLeftCell="A31" workbookViewId="0">
      <selection activeCell="B30" sqref="B30:C30"/>
    </sheetView>
  </sheetViews>
  <sheetFormatPr baseColWidth="10" defaultRowHeight="15" x14ac:dyDescent="0.25"/>
  <cols>
    <col min="2" max="2" width="46.42578125" customWidth="1"/>
    <col min="3" max="3" width="28.5703125" customWidth="1"/>
    <col min="7" max="7" width="12.5703125" customWidth="1"/>
    <col min="8" max="8" width="0" hidden="1" customWidth="1"/>
    <col min="10" max="10" width="14" customWidth="1"/>
    <col min="11" max="11" width="20.140625" customWidth="1"/>
  </cols>
  <sheetData>
    <row r="1" spans="1:2" x14ac:dyDescent="0.25">
      <c r="A1" s="10"/>
      <c r="B1" s="11"/>
    </row>
    <row r="20" spans="1:13" x14ac:dyDescent="0.25">
      <c r="A20" s="19" t="s">
        <v>0</v>
      </c>
      <c r="B20" s="20"/>
      <c r="C20" s="20"/>
      <c r="D20" s="20"/>
      <c r="E20" s="20"/>
      <c r="F20" s="20"/>
      <c r="G20" s="20"/>
    </row>
    <row r="21" spans="1:13" x14ac:dyDescent="0.25">
      <c r="A21" s="21" t="s">
        <v>162</v>
      </c>
      <c r="B21" s="22"/>
      <c r="C21" s="22"/>
      <c r="D21" s="22"/>
      <c r="E21" s="22"/>
      <c r="F21" s="22"/>
      <c r="G21" s="22"/>
    </row>
    <row r="22" spans="1:13" x14ac:dyDescent="0.25">
      <c r="A22" s="23" t="s">
        <v>111</v>
      </c>
      <c r="B22" s="23"/>
      <c r="C22" s="23"/>
      <c r="D22" s="1" t="s">
        <v>1</v>
      </c>
      <c r="E22" s="1" t="s">
        <v>2</v>
      </c>
      <c r="F22" s="1" t="s">
        <v>3</v>
      </c>
      <c r="G22" s="1" t="s">
        <v>4</v>
      </c>
    </row>
    <row r="23" spans="1:13" x14ac:dyDescent="0.25">
      <c r="A23" s="7"/>
      <c r="B23" s="8"/>
      <c r="C23" s="9"/>
      <c r="D23" s="1"/>
      <c r="E23" s="1"/>
      <c r="F23" s="1"/>
      <c r="G23" s="2"/>
    </row>
    <row r="24" spans="1:13" x14ac:dyDescent="0.25">
      <c r="A24" s="1">
        <v>3</v>
      </c>
      <c r="B24" s="16" t="s">
        <v>122</v>
      </c>
      <c r="C24" s="16"/>
      <c r="D24" s="1">
        <v>67</v>
      </c>
      <c r="E24" s="1" t="s">
        <v>16</v>
      </c>
      <c r="F24" s="2">
        <v>140</v>
      </c>
      <c r="G24" s="2">
        <f t="shared" ref="G24:G41" si="0">D24*F24</f>
        <v>9380</v>
      </c>
    </row>
    <row r="25" spans="1:13" x14ac:dyDescent="0.25">
      <c r="A25" s="1">
        <v>4</v>
      </c>
      <c r="B25" s="16" t="s">
        <v>112</v>
      </c>
      <c r="C25" s="16"/>
      <c r="D25" s="1">
        <v>23</v>
      </c>
      <c r="E25" s="1" t="s">
        <v>16</v>
      </c>
      <c r="F25" s="2">
        <v>450</v>
      </c>
      <c r="G25" s="2">
        <f t="shared" si="0"/>
        <v>10350</v>
      </c>
    </row>
    <row r="26" spans="1:13" x14ac:dyDescent="0.25">
      <c r="A26" s="1">
        <v>5</v>
      </c>
      <c r="B26" s="16" t="s">
        <v>113</v>
      </c>
      <c r="C26" s="16"/>
      <c r="D26" s="1">
        <v>15.61</v>
      </c>
      <c r="E26" s="1" t="s">
        <v>16</v>
      </c>
      <c r="F26" s="2">
        <v>140</v>
      </c>
      <c r="G26" s="2">
        <f t="shared" si="0"/>
        <v>2185.4</v>
      </c>
    </row>
    <row r="27" spans="1:13" x14ac:dyDescent="0.25">
      <c r="A27" s="1"/>
      <c r="B27" s="16" t="s">
        <v>114</v>
      </c>
      <c r="C27" s="16"/>
      <c r="D27" s="1">
        <v>8.3000000000000007</v>
      </c>
      <c r="E27" s="1" t="s">
        <v>12</v>
      </c>
      <c r="F27" s="2">
        <v>140</v>
      </c>
      <c r="G27" s="2">
        <f t="shared" si="0"/>
        <v>1162</v>
      </c>
    </row>
    <row r="28" spans="1:13" x14ac:dyDescent="0.25">
      <c r="A28" s="1"/>
      <c r="B28" s="16" t="s">
        <v>116</v>
      </c>
      <c r="C28" s="16"/>
      <c r="D28" s="1">
        <v>23.68</v>
      </c>
      <c r="E28" s="1" t="s">
        <v>16</v>
      </c>
      <c r="F28" s="2">
        <v>120</v>
      </c>
      <c r="G28" s="2">
        <f t="shared" si="0"/>
        <v>2841.6</v>
      </c>
    </row>
    <row r="29" spans="1:13" x14ac:dyDescent="0.25">
      <c r="A29" s="1"/>
      <c r="B29" s="16" t="s">
        <v>115</v>
      </c>
      <c r="C29" s="16"/>
      <c r="D29" s="1">
        <v>24.68</v>
      </c>
      <c r="E29" s="1" t="s">
        <v>117</v>
      </c>
      <c r="F29" s="2"/>
      <c r="G29" s="2">
        <f t="shared" si="0"/>
        <v>0</v>
      </c>
    </row>
    <row r="30" spans="1:13" x14ac:dyDescent="0.25">
      <c r="A30" s="1"/>
      <c r="B30" s="16" t="s">
        <v>118</v>
      </c>
      <c r="C30" s="16"/>
      <c r="D30" s="1">
        <v>7</v>
      </c>
      <c r="E30" s="1" t="s">
        <v>10</v>
      </c>
      <c r="F30" s="2">
        <v>250</v>
      </c>
      <c r="G30" s="2">
        <f t="shared" si="0"/>
        <v>1750</v>
      </c>
    </row>
    <row r="31" spans="1:13" x14ac:dyDescent="0.25">
      <c r="A31" s="1">
        <v>6</v>
      </c>
      <c r="B31" s="16" t="s">
        <v>17</v>
      </c>
      <c r="C31" s="16"/>
      <c r="D31" s="1">
        <v>59</v>
      </c>
      <c r="E31" s="1" t="s">
        <v>16</v>
      </c>
      <c r="F31" s="2">
        <v>130</v>
      </c>
      <c r="G31" s="2">
        <f t="shared" si="0"/>
        <v>7670</v>
      </c>
    </row>
    <row r="32" spans="1:13" x14ac:dyDescent="0.25">
      <c r="A32" s="1">
        <v>7</v>
      </c>
      <c r="B32" s="17" t="s">
        <v>18</v>
      </c>
      <c r="C32" s="18"/>
      <c r="D32" s="1">
        <v>48.32</v>
      </c>
      <c r="E32" s="1" t="s">
        <v>16</v>
      </c>
      <c r="F32" s="2">
        <v>130</v>
      </c>
      <c r="G32" s="2">
        <f t="shared" si="0"/>
        <v>6281.6</v>
      </c>
      <c r="J32">
        <f>SUM(D32+D33+D34+D35+D38+D41)</f>
        <v>381.86</v>
      </c>
      <c r="K32" t="s">
        <v>163</v>
      </c>
      <c r="L32">
        <v>0.2</v>
      </c>
      <c r="M32">
        <f>J32*L32</f>
        <v>76.372</v>
      </c>
    </row>
    <row r="33" spans="1:13" x14ac:dyDescent="0.25">
      <c r="A33" s="1">
        <v>8</v>
      </c>
      <c r="B33" s="17" t="s">
        <v>19</v>
      </c>
      <c r="C33" s="18"/>
      <c r="D33" s="1">
        <v>89.2</v>
      </c>
      <c r="E33" s="1" t="s">
        <v>16</v>
      </c>
      <c r="F33" s="2">
        <v>130</v>
      </c>
      <c r="G33" s="2">
        <f t="shared" si="0"/>
        <v>11596</v>
      </c>
      <c r="J33">
        <f>SUM(D28+D40+D71+D84+D90)</f>
        <v>160.18</v>
      </c>
      <c r="K33" t="s">
        <v>164</v>
      </c>
      <c r="L33">
        <v>0.45</v>
      </c>
      <c r="M33">
        <f t="shared" ref="M33:M34" si="1">J33*L33</f>
        <v>72.081000000000003</v>
      </c>
    </row>
    <row r="34" spans="1:13" x14ac:dyDescent="0.25">
      <c r="A34" s="1">
        <v>9</v>
      </c>
      <c r="B34" s="17" t="s">
        <v>21</v>
      </c>
      <c r="C34" s="18"/>
      <c r="D34" s="1">
        <v>37.92</v>
      </c>
      <c r="E34" s="1" t="s">
        <v>16</v>
      </c>
      <c r="F34" s="2">
        <v>130</v>
      </c>
      <c r="G34" s="2">
        <f t="shared" si="0"/>
        <v>4929.6000000000004</v>
      </c>
      <c r="J34">
        <f>SUM(D44+D45+D46+D49+D50+D51+D52+D53+D54+D55+D57+D59+D60+D61+D64+D65+D66+D67+D68+D69+D78+D79+D80+D81+D82+D87+D88+D89)</f>
        <v>706.2</v>
      </c>
      <c r="K34" t="s">
        <v>166</v>
      </c>
      <c r="L34">
        <v>0.53</v>
      </c>
      <c r="M34">
        <f t="shared" si="1"/>
        <v>374.28600000000006</v>
      </c>
    </row>
    <row r="35" spans="1:13" x14ac:dyDescent="0.25">
      <c r="A35" s="1"/>
      <c r="B35" s="17" t="s">
        <v>158</v>
      </c>
      <c r="C35" s="18"/>
      <c r="D35" s="1">
        <v>71</v>
      </c>
      <c r="E35" s="1" t="s">
        <v>16</v>
      </c>
      <c r="F35" s="2">
        <v>130</v>
      </c>
      <c r="G35" s="2">
        <f t="shared" si="0"/>
        <v>9230</v>
      </c>
    </row>
    <row r="36" spans="1:13" x14ac:dyDescent="0.25">
      <c r="A36" s="1"/>
      <c r="B36" s="17" t="s">
        <v>119</v>
      </c>
      <c r="C36" s="18"/>
      <c r="D36" s="1">
        <v>19</v>
      </c>
      <c r="E36" s="1" t="s">
        <v>12</v>
      </c>
      <c r="F36" s="2">
        <v>160</v>
      </c>
      <c r="G36" s="2">
        <f t="shared" si="0"/>
        <v>3040</v>
      </c>
    </row>
    <row r="37" spans="1:13" x14ac:dyDescent="0.25">
      <c r="A37" s="1"/>
      <c r="B37" s="17" t="s">
        <v>120</v>
      </c>
      <c r="C37" s="18"/>
      <c r="D37" s="1">
        <v>1</v>
      </c>
      <c r="E37" s="1" t="s">
        <v>10</v>
      </c>
      <c r="F37" s="2">
        <v>425</v>
      </c>
      <c r="G37" s="2">
        <f t="shared" si="0"/>
        <v>425</v>
      </c>
    </row>
    <row r="38" spans="1:13" x14ac:dyDescent="0.25">
      <c r="A38" s="1"/>
      <c r="B38" s="17" t="s">
        <v>21</v>
      </c>
      <c r="C38" s="18"/>
      <c r="D38" s="1">
        <v>37.92</v>
      </c>
      <c r="E38" s="1" t="s">
        <v>16</v>
      </c>
      <c r="F38" s="2">
        <v>130</v>
      </c>
      <c r="G38" s="2">
        <f t="shared" si="0"/>
        <v>4929.6000000000004</v>
      </c>
    </row>
    <row r="39" spans="1:13" x14ac:dyDescent="0.25">
      <c r="A39" s="1"/>
      <c r="B39" s="17" t="s">
        <v>121</v>
      </c>
      <c r="C39" s="18"/>
      <c r="D39" s="1">
        <v>1</v>
      </c>
      <c r="E39" s="1" t="s">
        <v>5</v>
      </c>
      <c r="F39" s="2">
        <v>435</v>
      </c>
      <c r="G39" s="2">
        <f t="shared" si="0"/>
        <v>435</v>
      </c>
    </row>
    <row r="40" spans="1:13" x14ac:dyDescent="0.25">
      <c r="A40" s="6">
        <v>10</v>
      </c>
      <c r="B40" s="17" t="s">
        <v>144</v>
      </c>
      <c r="C40" s="18"/>
      <c r="D40" s="1">
        <v>97.5</v>
      </c>
      <c r="E40" s="1" t="s">
        <v>16</v>
      </c>
      <c r="F40" s="2">
        <v>120</v>
      </c>
      <c r="G40" s="2">
        <f t="shared" si="0"/>
        <v>11700</v>
      </c>
    </row>
    <row r="41" spans="1:13" x14ac:dyDescent="0.25">
      <c r="A41" s="6"/>
      <c r="B41" s="17" t="s">
        <v>145</v>
      </c>
      <c r="C41" s="18"/>
      <c r="D41" s="1">
        <v>97.5</v>
      </c>
      <c r="E41" s="1" t="s">
        <v>16</v>
      </c>
      <c r="F41" s="2">
        <v>130</v>
      </c>
      <c r="G41" s="2">
        <f t="shared" si="0"/>
        <v>12675</v>
      </c>
    </row>
    <row r="42" spans="1:13" x14ac:dyDescent="0.25">
      <c r="A42" s="6"/>
      <c r="B42" s="24" t="s">
        <v>24</v>
      </c>
      <c r="C42" s="25"/>
      <c r="D42" s="1"/>
      <c r="E42" s="1"/>
      <c r="F42" s="2"/>
      <c r="G42" s="2"/>
    </row>
    <row r="43" spans="1:13" x14ac:dyDescent="0.25">
      <c r="A43" s="1">
        <v>11</v>
      </c>
      <c r="B43" s="17" t="s">
        <v>23</v>
      </c>
      <c r="C43" s="18"/>
      <c r="D43" s="1">
        <v>1</v>
      </c>
      <c r="E43" s="1" t="s">
        <v>5</v>
      </c>
      <c r="F43" s="2">
        <v>2450</v>
      </c>
      <c r="G43" s="2">
        <f t="shared" ref="G43:G74" si="2">D43*F43</f>
        <v>2450</v>
      </c>
    </row>
    <row r="44" spans="1:13" x14ac:dyDescent="0.25">
      <c r="A44" s="1">
        <v>12</v>
      </c>
      <c r="B44" s="17" t="s">
        <v>123</v>
      </c>
      <c r="C44" s="18"/>
      <c r="D44" s="1">
        <v>22.56</v>
      </c>
      <c r="E44" s="1" t="s">
        <v>16</v>
      </c>
      <c r="F44" s="2">
        <v>120</v>
      </c>
      <c r="G44" s="2">
        <f t="shared" si="2"/>
        <v>2707.2</v>
      </c>
    </row>
    <row r="45" spans="1:13" x14ac:dyDescent="0.25">
      <c r="A45" s="1">
        <v>13</v>
      </c>
      <c r="B45" s="17" t="s">
        <v>124</v>
      </c>
      <c r="C45" s="18"/>
      <c r="D45" s="1">
        <v>36.090000000000003</v>
      </c>
      <c r="E45" s="1" t="s">
        <v>16</v>
      </c>
      <c r="F45" s="2">
        <v>135</v>
      </c>
      <c r="G45" s="2">
        <f t="shared" si="2"/>
        <v>4872.1500000000005</v>
      </c>
    </row>
    <row r="46" spans="1:13" x14ac:dyDescent="0.25">
      <c r="A46" s="1">
        <v>14</v>
      </c>
      <c r="B46" s="17" t="s">
        <v>125</v>
      </c>
      <c r="C46" s="18"/>
      <c r="D46" s="1">
        <v>6.18</v>
      </c>
      <c r="E46" s="1" t="s">
        <v>16</v>
      </c>
      <c r="F46" s="2">
        <v>135</v>
      </c>
      <c r="G46" s="2">
        <f t="shared" si="2"/>
        <v>834.3</v>
      </c>
    </row>
    <row r="47" spans="1:13" x14ac:dyDescent="0.25">
      <c r="A47" s="1">
        <v>15</v>
      </c>
      <c r="B47" s="17" t="s">
        <v>126</v>
      </c>
      <c r="C47" s="18"/>
      <c r="D47" s="1">
        <v>5.5</v>
      </c>
      <c r="E47" s="1" t="s">
        <v>16</v>
      </c>
      <c r="F47" s="2">
        <v>120</v>
      </c>
      <c r="G47" s="2">
        <f t="shared" si="2"/>
        <v>660</v>
      </c>
    </row>
    <row r="48" spans="1:13" x14ac:dyDescent="0.25">
      <c r="A48" s="1">
        <v>16</v>
      </c>
      <c r="B48" s="17" t="s">
        <v>127</v>
      </c>
      <c r="C48" s="18"/>
      <c r="D48" s="1">
        <v>1</v>
      </c>
      <c r="E48" s="1" t="s">
        <v>10</v>
      </c>
      <c r="F48" s="2">
        <v>600</v>
      </c>
      <c r="G48" s="2">
        <f t="shared" si="2"/>
        <v>600</v>
      </c>
    </row>
    <row r="49" spans="1:7" x14ac:dyDescent="0.25">
      <c r="A49" s="1"/>
      <c r="B49" s="17" t="s">
        <v>128</v>
      </c>
      <c r="C49" s="18"/>
      <c r="D49" s="1">
        <v>44</v>
      </c>
      <c r="E49" s="1" t="s">
        <v>16</v>
      </c>
      <c r="F49" s="2">
        <v>120</v>
      </c>
      <c r="G49" s="2">
        <f t="shared" si="2"/>
        <v>5280</v>
      </c>
    </row>
    <row r="50" spans="1:7" x14ac:dyDescent="0.25">
      <c r="A50" s="1">
        <v>17</v>
      </c>
      <c r="B50" s="17" t="s">
        <v>26</v>
      </c>
      <c r="C50" s="18"/>
      <c r="D50" s="1">
        <v>7</v>
      </c>
      <c r="E50" s="1" t="s">
        <v>6</v>
      </c>
      <c r="F50" s="2">
        <v>120</v>
      </c>
      <c r="G50" s="2">
        <f t="shared" si="2"/>
        <v>840</v>
      </c>
    </row>
    <row r="51" spans="1:7" x14ac:dyDescent="0.25">
      <c r="A51" s="1">
        <v>18</v>
      </c>
      <c r="B51" s="13" t="s">
        <v>129</v>
      </c>
      <c r="C51" s="13"/>
      <c r="D51" s="1">
        <v>14</v>
      </c>
      <c r="E51" s="1" t="s">
        <v>16</v>
      </c>
      <c r="F51" s="2">
        <v>120</v>
      </c>
      <c r="G51" s="2">
        <f t="shared" si="2"/>
        <v>1680</v>
      </c>
    </row>
    <row r="52" spans="1:7" x14ac:dyDescent="0.25">
      <c r="A52" s="1"/>
      <c r="B52" s="13" t="s">
        <v>30</v>
      </c>
      <c r="C52" s="13"/>
      <c r="D52" s="1">
        <v>25</v>
      </c>
      <c r="E52" s="1" t="s">
        <v>16</v>
      </c>
      <c r="F52" s="2">
        <v>120</v>
      </c>
      <c r="G52" s="2">
        <f t="shared" si="2"/>
        <v>3000</v>
      </c>
    </row>
    <row r="53" spans="1:7" x14ac:dyDescent="0.25">
      <c r="A53" s="1"/>
      <c r="B53" s="13" t="s">
        <v>157</v>
      </c>
      <c r="C53" s="13"/>
      <c r="D53" s="1">
        <v>5</v>
      </c>
      <c r="E53" s="1" t="s">
        <v>16</v>
      </c>
      <c r="F53" s="2">
        <v>135</v>
      </c>
      <c r="G53" s="2">
        <f t="shared" si="2"/>
        <v>675</v>
      </c>
    </row>
    <row r="54" spans="1:7" x14ac:dyDescent="0.25">
      <c r="A54" s="1"/>
      <c r="B54" s="13" t="s">
        <v>131</v>
      </c>
      <c r="C54" s="13"/>
      <c r="D54" s="1">
        <v>16.420000000000002</v>
      </c>
      <c r="E54" s="1" t="s">
        <v>16</v>
      </c>
      <c r="F54" s="2">
        <v>120</v>
      </c>
      <c r="G54" s="2">
        <f t="shared" si="2"/>
        <v>1970.4</v>
      </c>
    </row>
    <row r="55" spans="1:7" x14ac:dyDescent="0.25">
      <c r="A55" s="1">
        <v>19</v>
      </c>
      <c r="B55" s="13" t="s">
        <v>32</v>
      </c>
      <c r="C55" s="13"/>
      <c r="D55" s="1">
        <v>32</v>
      </c>
      <c r="E55" s="1" t="s">
        <v>16</v>
      </c>
      <c r="F55" s="2">
        <v>120</v>
      </c>
      <c r="G55" s="2">
        <f t="shared" si="2"/>
        <v>3840</v>
      </c>
    </row>
    <row r="56" spans="1:7" x14ac:dyDescent="0.25">
      <c r="A56" s="1"/>
      <c r="B56" s="13" t="s">
        <v>143</v>
      </c>
      <c r="C56" s="13"/>
      <c r="D56" s="1">
        <v>1</v>
      </c>
      <c r="E56" s="1" t="s">
        <v>5</v>
      </c>
      <c r="F56" s="2">
        <v>300</v>
      </c>
      <c r="G56" s="2">
        <f t="shared" si="2"/>
        <v>300</v>
      </c>
    </row>
    <row r="57" spans="1:7" x14ac:dyDescent="0.25">
      <c r="A57" s="1"/>
      <c r="B57" s="13" t="s">
        <v>132</v>
      </c>
      <c r="C57" s="13"/>
      <c r="D57" s="1">
        <v>12</v>
      </c>
      <c r="E57" s="1" t="s">
        <v>16</v>
      </c>
      <c r="F57" s="2">
        <v>135</v>
      </c>
      <c r="G57" s="2">
        <f t="shared" si="2"/>
        <v>1620</v>
      </c>
    </row>
    <row r="58" spans="1:7" x14ac:dyDescent="0.25">
      <c r="A58" s="1">
        <v>20</v>
      </c>
      <c r="B58" s="13" t="s">
        <v>141</v>
      </c>
      <c r="C58" s="13"/>
      <c r="D58" s="1">
        <v>2.5</v>
      </c>
      <c r="E58" s="1" t="s">
        <v>12</v>
      </c>
      <c r="F58" s="2">
        <v>185</v>
      </c>
      <c r="G58" s="2">
        <f t="shared" si="2"/>
        <v>462.5</v>
      </c>
    </row>
    <row r="59" spans="1:7" x14ac:dyDescent="0.25">
      <c r="A59" s="1"/>
      <c r="B59" s="13" t="s">
        <v>130</v>
      </c>
      <c r="C59" s="13"/>
      <c r="D59" s="1">
        <v>23.8</v>
      </c>
      <c r="E59" s="1" t="s">
        <v>12</v>
      </c>
      <c r="F59" s="2">
        <v>120</v>
      </c>
      <c r="G59" s="2">
        <f t="shared" si="2"/>
        <v>2856</v>
      </c>
    </row>
    <row r="60" spans="1:7" x14ac:dyDescent="0.25">
      <c r="A60" s="1"/>
      <c r="B60" s="13" t="s">
        <v>133</v>
      </c>
      <c r="C60" s="13"/>
      <c r="D60" s="1">
        <v>56</v>
      </c>
      <c r="E60" s="1" t="s">
        <v>16</v>
      </c>
      <c r="F60" s="2">
        <v>120</v>
      </c>
      <c r="G60" s="2">
        <f t="shared" si="2"/>
        <v>6720</v>
      </c>
    </row>
    <row r="61" spans="1:7" x14ac:dyDescent="0.25">
      <c r="A61" s="1">
        <v>22</v>
      </c>
      <c r="B61" s="14" t="s">
        <v>134</v>
      </c>
      <c r="C61" s="15"/>
      <c r="D61" s="1">
        <v>24</v>
      </c>
      <c r="E61" s="1" t="s">
        <v>16</v>
      </c>
      <c r="F61" s="2">
        <v>135</v>
      </c>
      <c r="G61" s="2">
        <f t="shared" si="2"/>
        <v>3240</v>
      </c>
    </row>
    <row r="62" spans="1:7" x14ac:dyDescent="0.25">
      <c r="A62" s="1"/>
      <c r="B62" s="14" t="s">
        <v>142</v>
      </c>
      <c r="C62" s="15"/>
      <c r="D62" s="1">
        <v>6</v>
      </c>
      <c r="E62" s="1" t="s">
        <v>12</v>
      </c>
      <c r="F62" s="2">
        <v>225</v>
      </c>
      <c r="G62" s="2">
        <f t="shared" si="2"/>
        <v>1350</v>
      </c>
    </row>
    <row r="63" spans="1:7" x14ac:dyDescent="0.25">
      <c r="A63" s="1"/>
      <c r="B63" s="14" t="s">
        <v>135</v>
      </c>
      <c r="C63" s="15"/>
      <c r="D63" s="1">
        <v>1</v>
      </c>
      <c r="E63" s="1" t="s">
        <v>10</v>
      </c>
      <c r="F63" s="2">
        <v>450</v>
      </c>
      <c r="G63" s="2">
        <f t="shared" si="2"/>
        <v>450</v>
      </c>
    </row>
    <row r="64" spans="1:7" x14ac:dyDescent="0.25">
      <c r="A64" s="1">
        <v>23</v>
      </c>
      <c r="B64" s="13" t="s">
        <v>37</v>
      </c>
      <c r="C64" s="13"/>
      <c r="D64" s="1">
        <v>63</v>
      </c>
      <c r="E64" s="1" t="s">
        <v>16</v>
      </c>
      <c r="F64" s="2">
        <v>120</v>
      </c>
      <c r="G64" s="2">
        <f t="shared" si="2"/>
        <v>7560</v>
      </c>
    </row>
    <row r="65" spans="1:7" x14ac:dyDescent="0.25">
      <c r="A65" s="1">
        <v>24</v>
      </c>
      <c r="B65" s="13" t="s">
        <v>38</v>
      </c>
      <c r="C65" s="13"/>
      <c r="D65" s="1">
        <v>31</v>
      </c>
      <c r="E65" s="1" t="s">
        <v>6</v>
      </c>
      <c r="F65" s="2">
        <v>135</v>
      </c>
      <c r="G65" s="2">
        <f t="shared" si="2"/>
        <v>4185</v>
      </c>
    </row>
    <row r="66" spans="1:7" x14ac:dyDescent="0.25">
      <c r="A66" s="1">
        <v>25</v>
      </c>
      <c r="B66" s="13" t="s">
        <v>136</v>
      </c>
      <c r="C66" s="13"/>
      <c r="D66" s="1">
        <v>36</v>
      </c>
      <c r="E66" s="1" t="s">
        <v>16</v>
      </c>
      <c r="F66" s="2">
        <v>120</v>
      </c>
      <c r="G66" s="2">
        <f t="shared" si="2"/>
        <v>4320</v>
      </c>
    </row>
    <row r="67" spans="1:7" x14ac:dyDescent="0.25">
      <c r="A67" s="1">
        <v>26</v>
      </c>
      <c r="B67" s="13" t="s">
        <v>137</v>
      </c>
      <c r="C67" s="13"/>
      <c r="D67" s="1">
        <v>8</v>
      </c>
      <c r="E67" s="1" t="s">
        <v>16</v>
      </c>
      <c r="F67" s="2">
        <v>135</v>
      </c>
      <c r="G67" s="2">
        <f t="shared" si="2"/>
        <v>1080</v>
      </c>
    </row>
    <row r="68" spans="1:7" x14ac:dyDescent="0.25">
      <c r="A68" s="1">
        <v>27</v>
      </c>
      <c r="B68" s="14" t="s">
        <v>41</v>
      </c>
      <c r="C68" s="15"/>
      <c r="D68" s="1">
        <v>24.15</v>
      </c>
      <c r="E68" s="1" t="s">
        <v>6</v>
      </c>
      <c r="F68" s="2">
        <v>120</v>
      </c>
      <c r="G68" s="2">
        <f t="shared" si="2"/>
        <v>2898</v>
      </c>
    </row>
    <row r="69" spans="1:7" x14ac:dyDescent="0.25">
      <c r="A69" s="1">
        <v>28</v>
      </c>
      <c r="B69" s="14" t="s">
        <v>42</v>
      </c>
      <c r="C69" s="15"/>
      <c r="D69" s="1">
        <v>5</v>
      </c>
      <c r="E69" s="1" t="s">
        <v>16</v>
      </c>
      <c r="F69" s="2">
        <v>135</v>
      </c>
      <c r="G69" s="2">
        <f t="shared" si="2"/>
        <v>675</v>
      </c>
    </row>
    <row r="70" spans="1:7" x14ac:dyDescent="0.25">
      <c r="A70" s="1"/>
      <c r="B70" s="14" t="s">
        <v>140</v>
      </c>
      <c r="C70" s="15"/>
      <c r="D70" s="1">
        <v>1</v>
      </c>
      <c r="E70" s="1" t="s">
        <v>10</v>
      </c>
      <c r="F70" s="2">
        <v>750</v>
      </c>
      <c r="G70" s="2">
        <f t="shared" si="2"/>
        <v>750</v>
      </c>
    </row>
    <row r="71" spans="1:7" x14ac:dyDescent="0.25">
      <c r="A71" s="1"/>
      <c r="B71" s="14" t="s">
        <v>165</v>
      </c>
      <c r="C71" s="15"/>
      <c r="D71" s="1">
        <v>13</v>
      </c>
      <c r="E71" s="1" t="s">
        <v>16</v>
      </c>
      <c r="F71" s="2">
        <v>145</v>
      </c>
      <c r="G71" s="2">
        <f t="shared" si="2"/>
        <v>1885</v>
      </c>
    </row>
    <row r="72" spans="1:7" x14ac:dyDescent="0.25">
      <c r="A72" s="1">
        <v>29</v>
      </c>
      <c r="B72" s="14" t="s">
        <v>43</v>
      </c>
      <c r="C72" s="15"/>
      <c r="D72" s="1">
        <v>23</v>
      </c>
      <c r="E72" s="1" t="s">
        <v>16</v>
      </c>
      <c r="F72" s="2">
        <v>200</v>
      </c>
      <c r="G72" s="2">
        <f t="shared" si="2"/>
        <v>4600</v>
      </c>
    </row>
    <row r="73" spans="1:7" x14ac:dyDescent="0.25">
      <c r="A73" s="1">
        <v>30</v>
      </c>
      <c r="B73" s="14" t="s">
        <v>58</v>
      </c>
      <c r="C73" s="15"/>
      <c r="D73" s="1">
        <v>1</v>
      </c>
      <c r="E73" s="1" t="s">
        <v>5</v>
      </c>
      <c r="F73" s="2">
        <v>2300</v>
      </c>
      <c r="G73" s="2">
        <f t="shared" si="2"/>
        <v>2300</v>
      </c>
    </row>
    <row r="74" spans="1:7" x14ac:dyDescent="0.25">
      <c r="A74" s="1"/>
      <c r="B74" s="14" t="s">
        <v>44</v>
      </c>
      <c r="C74" s="15"/>
      <c r="D74" s="1">
        <v>1</v>
      </c>
      <c r="E74" s="1" t="s">
        <v>10</v>
      </c>
      <c r="F74" s="2">
        <v>800</v>
      </c>
      <c r="G74" s="2">
        <f t="shared" si="2"/>
        <v>800</v>
      </c>
    </row>
    <row r="75" spans="1:7" x14ac:dyDescent="0.25">
      <c r="A75" s="1">
        <v>31</v>
      </c>
      <c r="B75" s="13" t="s">
        <v>138</v>
      </c>
      <c r="C75" s="13"/>
      <c r="D75" s="1">
        <v>2</v>
      </c>
      <c r="E75" s="1" t="s">
        <v>10</v>
      </c>
      <c r="F75" s="3">
        <v>350</v>
      </c>
      <c r="G75" s="2">
        <f t="shared" ref="G75:G114" si="3">D75*F75</f>
        <v>700</v>
      </c>
    </row>
    <row r="76" spans="1:7" x14ac:dyDescent="0.25">
      <c r="A76" s="1"/>
      <c r="B76" s="13" t="s">
        <v>139</v>
      </c>
      <c r="C76" s="13"/>
      <c r="D76" s="1">
        <v>1</v>
      </c>
      <c r="E76" s="1" t="s">
        <v>5</v>
      </c>
      <c r="F76" s="3">
        <v>350</v>
      </c>
      <c r="G76" s="2">
        <f t="shared" si="3"/>
        <v>350</v>
      </c>
    </row>
    <row r="77" spans="1:7" x14ac:dyDescent="0.25">
      <c r="A77" s="1"/>
      <c r="B77" s="14" t="s">
        <v>58</v>
      </c>
      <c r="C77" s="15"/>
      <c r="D77" s="1">
        <v>1</v>
      </c>
      <c r="E77" s="1" t="s">
        <v>5</v>
      </c>
      <c r="F77" s="3">
        <v>2300</v>
      </c>
      <c r="G77" s="2">
        <f t="shared" si="3"/>
        <v>2300</v>
      </c>
    </row>
    <row r="78" spans="1:7" x14ac:dyDescent="0.25">
      <c r="A78" s="1">
        <v>32</v>
      </c>
      <c r="B78" s="13" t="s">
        <v>146</v>
      </c>
      <c r="C78" s="13"/>
      <c r="D78" s="1">
        <v>18</v>
      </c>
      <c r="E78" s="1" t="s">
        <v>16</v>
      </c>
      <c r="F78" s="3">
        <v>135</v>
      </c>
      <c r="G78" s="3">
        <f t="shared" si="3"/>
        <v>2430</v>
      </c>
    </row>
    <row r="79" spans="1:7" x14ac:dyDescent="0.25">
      <c r="A79" s="1">
        <v>33</v>
      </c>
      <c r="B79" s="13" t="s">
        <v>147</v>
      </c>
      <c r="C79" s="13"/>
      <c r="D79" s="1">
        <v>60</v>
      </c>
      <c r="E79" s="1" t="s">
        <v>16</v>
      </c>
      <c r="F79" s="3">
        <v>120</v>
      </c>
      <c r="G79" s="3">
        <f t="shared" si="3"/>
        <v>7200</v>
      </c>
    </row>
    <row r="80" spans="1:7" x14ac:dyDescent="0.25">
      <c r="A80" s="1">
        <v>34</v>
      </c>
      <c r="B80" s="13" t="s">
        <v>48</v>
      </c>
      <c r="C80" s="13"/>
      <c r="D80" s="1">
        <v>30</v>
      </c>
      <c r="E80" s="1" t="s">
        <v>16</v>
      </c>
      <c r="F80" s="3">
        <v>120</v>
      </c>
      <c r="G80" s="3">
        <f t="shared" si="3"/>
        <v>3600</v>
      </c>
    </row>
    <row r="81" spans="1:7" x14ac:dyDescent="0.25">
      <c r="A81" s="1">
        <v>35</v>
      </c>
      <c r="B81" s="13" t="s">
        <v>49</v>
      </c>
      <c r="C81" s="13"/>
      <c r="D81" s="1">
        <v>9</v>
      </c>
      <c r="E81" s="1" t="s">
        <v>16</v>
      </c>
      <c r="F81" s="3">
        <v>120</v>
      </c>
      <c r="G81" s="3">
        <f t="shared" si="3"/>
        <v>1080</v>
      </c>
    </row>
    <row r="82" spans="1:7" x14ac:dyDescent="0.25">
      <c r="A82" s="1">
        <v>36</v>
      </c>
      <c r="B82" s="13" t="s">
        <v>50</v>
      </c>
      <c r="C82" s="13"/>
      <c r="D82" s="1">
        <v>5</v>
      </c>
      <c r="E82" s="1" t="s">
        <v>16</v>
      </c>
      <c r="F82" s="3">
        <v>135</v>
      </c>
      <c r="G82" s="3">
        <f t="shared" si="3"/>
        <v>675</v>
      </c>
    </row>
    <row r="83" spans="1:7" x14ac:dyDescent="0.25">
      <c r="A83" s="1">
        <v>37</v>
      </c>
      <c r="B83" s="13" t="s">
        <v>149</v>
      </c>
      <c r="C83" s="13"/>
      <c r="D83" s="1">
        <v>1</v>
      </c>
      <c r="E83" s="1" t="s">
        <v>10</v>
      </c>
      <c r="F83" s="3">
        <v>300</v>
      </c>
      <c r="G83" s="3">
        <f t="shared" si="3"/>
        <v>300</v>
      </c>
    </row>
    <row r="84" spans="1:7" x14ac:dyDescent="0.25">
      <c r="A84" s="1"/>
      <c r="B84" s="13" t="s">
        <v>51</v>
      </c>
      <c r="C84" s="13"/>
      <c r="D84" s="1">
        <v>13</v>
      </c>
      <c r="E84" s="1" t="s">
        <v>16</v>
      </c>
      <c r="F84" s="3">
        <v>146</v>
      </c>
      <c r="G84" s="3">
        <f t="shared" ref="G84:G85" si="4">D84*F84</f>
        <v>1898</v>
      </c>
    </row>
    <row r="85" spans="1:7" x14ac:dyDescent="0.25">
      <c r="A85" s="1"/>
      <c r="B85" s="13" t="s">
        <v>151</v>
      </c>
      <c r="C85" s="13"/>
      <c r="D85" s="1">
        <v>23</v>
      </c>
      <c r="E85" s="1" t="s">
        <v>16</v>
      </c>
      <c r="F85" s="3">
        <v>200</v>
      </c>
      <c r="G85" s="3">
        <f t="shared" si="4"/>
        <v>4600</v>
      </c>
    </row>
    <row r="86" spans="1:7" x14ac:dyDescent="0.25">
      <c r="A86" s="1">
        <v>38</v>
      </c>
      <c r="B86" s="13" t="s">
        <v>52</v>
      </c>
      <c r="C86" s="13"/>
      <c r="D86" s="1">
        <v>1</v>
      </c>
      <c r="E86" s="1" t="s">
        <v>10</v>
      </c>
      <c r="F86" s="3">
        <v>800</v>
      </c>
      <c r="G86" s="3">
        <f t="shared" si="3"/>
        <v>800</v>
      </c>
    </row>
    <row r="87" spans="1:7" x14ac:dyDescent="0.25">
      <c r="A87" s="1"/>
      <c r="B87" s="13" t="s">
        <v>148</v>
      </c>
      <c r="C87" s="13"/>
      <c r="D87" s="1">
        <v>18</v>
      </c>
      <c r="E87" s="1" t="s">
        <v>16</v>
      </c>
      <c r="F87" s="3">
        <v>120</v>
      </c>
      <c r="G87" s="3">
        <f t="shared" si="3"/>
        <v>2160</v>
      </c>
    </row>
    <row r="88" spans="1:7" x14ac:dyDescent="0.25">
      <c r="A88" s="1">
        <v>39</v>
      </c>
      <c r="B88" s="13" t="s">
        <v>53</v>
      </c>
      <c r="C88" s="13"/>
      <c r="D88" s="1">
        <v>60</v>
      </c>
      <c r="E88" s="1" t="s">
        <v>16</v>
      </c>
      <c r="F88" s="2">
        <v>120</v>
      </c>
      <c r="G88" s="3">
        <f t="shared" si="3"/>
        <v>7200</v>
      </c>
    </row>
    <row r="89" spans="1:7" x14ac:dyDescent="0.25">
      <c r="A89" s="1">
        <v>41</v>
      </c>
      <c r="B89" s="13" t="s">
        <v>55</v>
      </c>
      <c r="C89" s="13"/>
      <c r="D89" s="1">
        <v>15</v>
      </c>
      <c r="E89" s="1" t="s">
        <v>16</v>
      </c>
      <c r="F89" s="3">
        <v>120</v>
      </c>
      <c r="G89" s="3">
        <f t="shared" si="3"/>
        <v>1800</v>
      </c>
    </row>
    <row r="90" spans="1:7" x14ac:dyDescent="0.25">
      <c r="A90" s="1"/>
      <c r="B90" s="13" t="s">
        <v>51</v>
      </c>
      <c r="C90" s="13"/>
      <c r="D90" s="1">
        <v>13</v>
      </c>
      <c r="E90" s="1" t="s">
        <v>16</v>
      </c>
      <c r="F90" s="3">
        <v>146</v>
      </c>
      <c r="G90" s="3">
        <f t="shared" si="3"/>
        <v>1898</v>
      </c>
    </row>
    <row r="91" spans="1:7" x14ac:dyDescent="0.25">
      <c r="A91" s="1">
        <v>43</v>
      </c>
      <c r="B91" s="14" t="s">
        <v>150</v>
      </c>
      <c r="C91" s="15"/>
      <c r="D91" s="1">
        <v>23</v>
      </c>
      <c r="E91" s="1" t="s">
        <v>16</v>
      </c>
      <c r="F91" s="2">
        <v>200</v>
      </c>
      <c r="G91" s="2">
        <f t="shared" si="3"/>
        <v>4600</v>
      </c>
    </row>
    <row r="92" spans="1:7" x14ac:dyDescent="0.25">
      <c r="A92" s="1"/>
      <c r="B92" s="14" t="s">
        <v>58</v>
      </c>
      <c r="C92" s="15"/>
      <c r="D92" s="1">
        <v>1</v>
      </c>
      <c r="E92" s="1" t="s">
        <v>5</v>
      </c>
      <c r="F92" s="2">
        <v>2300</v>
      </c>
      <c r="G92" s="2">
        <f t="shared" si="3"/>
        <v>2300</v>
      </c>
    </row>
    <row r="93" spans="1:7" x14ac:dyDescent="0.25">
      <c r="A93" s="1">
        <v>44</v>
      </c>
      <c r="B93" s="13" t="s">
        <v>152</v>
      </c>
      <c r="C93" s="13"/>
      <c r="D93" s="1">
        <v>1</v>
      </c>
      <c r="E93" s="1" t="s">
        <v>10</v>
      </c>
      <c r="F93" s="3">
        <v>800</v>
      </c>
      <c r="G93" s="3">
        <f t="shared" si="3"/>
        <v>800</v>
      </c>
    </row>
    <row r="94" spans="1:7" x14ac:dyDescent="0.25">
      <c r="A94" s="1">
        <v>45</v>
      </c>
      <c r="B94" s="13" t="s">
        <v>153</v>
      </c>
      <c r="C94" s="13"/>
      <c r="D94" s="1">
        <v>1</v>
      </c>
      <c r="E94" s="1" t="s">
        <v>10</v>
      </c>
      <c r="F94" s="3">
        <v>370</v>
      </c>
      <c r="G94" s="3">
        <f t="shared" si="3"/>
        <v>370</v>
      </c>
    </row>
    <row r="95" spans="1:7" x14ac:dyDescent="0.25">
      <c r="A95" s="1">
        <v>46</v>
      </c>
      <c r="B95" s="13" t="s">
        <v>154</v>
      </c>
      <c r="C95" s="13"/>
      <c r="D95" s="1">
        <v>95.78</v>
      </c>
      <c r="E95" s="1" t="s">
        <v>16</v>
      </c>
      <c r="F95" s="3">
        <v>160</v>
      </c>
      <c r="G95" s="3">
        <f t="shared" si="3"/>
        <v>15324.8</v>
      </c>
    </row>
    <row r="96" spans="1:7" x14ac:dyDescent="0.25">
      <c r="A96" s="1">
        <v>47</v>
      </c>
      <c r="B96" s="13" t="s">
        <v>155</v>
      </c>
      <c r="C96" s="13"/>
      <c r="D96" s="1">
        <v>38</v>
      </c>
      <c r="E96" s="1" t="s">
        <v>12</v>
      </c>
      <c r="F96" s="3">
        <v>160</v>
      </c>
      <c r="G96" s="3">
        <f t="shared" si="3"/>
        <v>6080</v>
      </c>
    </row>
    <row r="97" spans="1:7" x14ac:dyDescent="0.25">
      <c r="A97" s="1">
        <v>48</v>
      </c>
      <c r="B97" s="13" t="s">
        <v>156</v>
      </c>
      <c r="C97" s="13"/>
      <c r="D97" s="1">
        <v>95.7</v>
      </c>
      <c r="E97" s="1" t="s">
        <v>16</v>
      </c>
      <c r="F97" s="3">
        <v>160</v>
      </c>
      <c r="G97" s="3">
        <f t="shared" si="3"/>
        <v>15312</v>
      </c>
    </row>
    <row r="98" spans="1:7" x14ac:dyDescent="0.25">
      <c r="A98" s="1">
        <v>54</v>
      </c>
      <c r="B98" s="13" t="s">
        <v>70</v>
      </c>
      <c r="C98" s="13"/>
      <c r="D98" s="1">
        <v>1</v>
      </c>
      <c r="E98" s="1" t="s">
        <v>5</v>
      </c>
      <c r="F98" s="3">
        <v>900</v>
      </c>
      <c r="G98" s="3">
        <f t="shared" si="3"/>
        <v>900</v>
      </c>
    </row>
    <row r="99" spans="1:7" x14ac:dyDescent="0.25">
      <c r="A99" s="1">
        <v>55</v>
      </c>
      <c r="B99" s="13" t="s">
        <v>72</v>
      </c>
      <c r="C99" s="13"/>
      <c r="D99" s="1">
        <v>2</v>
      </c>
      <c r="E99" s="1" t="s">
        <v>10</v>
      </c>
      <c r="F99" s="3">
        <v>250</v>
      </c>
      <c r="G99" s="3">
        <f t="shared" si="3"/>
        <v>500</v>
      </c>
    </row>
    <row r="100" spans="1:7" x14ac:dyDescent="0.25">
      <c r="A100" s="1">
        <v>56</v>
      </c>
      <c r="B100" s="13" t="s">
        <v>73</v>
      </c>
      <c r="C100" s="13"/>
      <c r="D100" s="1">
        <v>1</v>
      </c>
      <c r="E100" s="1" t="s">
        <v>10</v>
      </c>
      <c r="F100" s="3">
        <v>350</v>
      </c>
      <c r="G100" s="3">
        <f t="shared" si="3"/>
        <v>350</v>
      </c>
    </row>
    <row r="101" spans="1:7" x14ac:dyDescent="0.25">
      <c r="A101" s="1">
        <v>57</v>
      </c>
      <c r="B101" s="13" t="s">
        <v>75</v>
      </c>
      <c r="C101" s="13"/>
      <c r="D101" s="1">
        <v>6</v>
      </c>
      <c r="E101" s="1" t="s">
        <v>16</v>
      </c>
      <c r="F101" s="3">
        <v>867</v>
      </c>
      <c r="G101" s="3">
        <f t="shared" si="3"/>
        <v>5202</v>
      </c>
    </row>
    <row r="102" spans="1:7" x14ac:dyDescent="0.25">
      <c r="A102" s="1">
        <v>58</v>
      </c>
      <c r="B102" s="13" t="s">
        <v>77</v>
      </c>
      <c r="C102" s="13"/>
      <c r="D102" s="1">
        <v>1</v>
      </c>
      <c r="E102" s="1" t="s">
        <v>5</v>
      </c>
      <c r="F102" s="3">
        <v>6400</v>
      </c>
      <c r="G102" s="3">
        <f t="shared" si="3"/>
        <v>6400</v>
      </c>
    </row>
    <row r="103" spans="1:7" x14ac:dyDescent="0.25">
      <c r="A103" s="1">
        <v>59</v>
      </c>
      <c r="B103" s="13" t="s">
        <v>161</v>
      </c>
      <c r="C103" s="13"/>
      <c r="D103" s="1">
        <v>11.7</v>
      </c>
      <c r="E103" s="1" t="s">
        <v>12</v>
      </c>
      <c r="F103" s="3">
        <v>180</v>
      </c>
      <c r="G103" s="3">
        <f t="shared" si="3"/>
        <v>2106</v>
      </c>
    </row>
    <row r="104" spans="1:7" x14ac:dyDescent="0.25">
      <c r="A104" s="1"/>
      <c r="B104" s="13" t="s">
        <v>76</v>
      </c>
      <c r="C104" s="13"/>
      <c r="D104" s="1"/>
      <c r="E104" s="1"/>
      <c r="F104" s="3"/>
      <c r="G104" s="3"/>
    </row>
    <row r="105" spans="1:7" x14ac:dyDescent="0.25">
      <c r="A105" s="1">
        <v>60</v>
      </c>
      <c r="B105" s="13" t="s">
        <v>78</v>
      </c>
      <c r="C105" s="13"/>
      <c r="D105" s="1"/>
      <c r="E105" s="1"/>
      <c r="F105" s="3"/>
      <c r="G105" s="3">
        <f t="shared" si="3"/>
        <v>0</v>
      </c>
    </row>
    <row r="106" spans="1:7" x14ac:dyDescent="0.25">
      <c r="A106" s="1">
        <v>61</v>
      </c>
      <c r="B106" s="13" t="s">
        <v>79</v>
      </c>
      <c r="C106" s="13"/>
      <c r="D106" s="1">
        <v>13</v>
      </c>
      <c r="E106" s="1" t="s">
        <v>12</v>
      </c>
      <c r="F106" s="3">
        <v>200</v>
      </c>
      <c r="G106" s="3">
        <f t="shared" si="3"/>
        <v>2600</v>
      </c>
    </row>
    <row r="107" spans="1:7" x14ac:dyDescent="0.25">
      <c r="A107" s="1">
        <v>62</v>
      </c>
      <c r="B107" s="13" t="s">
        <v>160</v>
      </c>
      <c r="C107" s="13"/>
      <c r="D107" s="1">
        <v>114</v>
      </c>
      <c r="E107" s="1" t="s">
        <v>16</v>
      </c>
      <c r="F107" s="3">
        <v>175</v>
      </c>
      <c r="G107" s="3">
        <f t="shared" si="3"/>
        <v>19950</v>
      </c>
    </row>
    <row r="108" spans="1:7" x14ac:dyDescent="0.25">
      <c r="A108" s="1">
        <v>63</v>
      </c>
      <c r="B108" s="13" t="s">
        <v>82</v>
      </c>
      <c r="C108" s="13"/>
      <c r="D108" s="1">
        <v>93</v>
      </c>
      <c r="E108" s="1" t="s">
        <v>12</v>
      </c>
      <c r="F108" s="3">
        <v>100</v>
      </c>
      <c r="G108" s="3">
        <f t="shared" si="3"/>
        <v>9300</v>
      </c>
    </row>
    <row r="109" spans="1:7" x14ac:dyDescent="0.25">
      <c r="A109" s="1">
        <v>64</v>
      </c>
      <c r="B109" s="13" t="s">
        <v>83</v>
      </c>
      <c r="C109" s="13"/>
      <c r="D109" s="1">
        <v>207</v>
      </c>
      <c r="E109" s="1" t="s">
        <v>16</v>
      </c>
      <c r="F109" s="3">
        <v>70</v>
      </c>
      <c r="G109" s="3">
        <f t="shared" si="3"/>
        <v>14490</v>
      </c>
    </row>
    <row r="110" spans="1:7" x14ac:dyDescent="0.25">
      <c r="A110" s="1">
        <v>65</v>
      </c>
      <c r="B110" s="13" t="s">
        <v>159</v>
      </c>
      <c r="C110" s="13"/>
      <c r="D110" s="1">
        <v>1</v>
      </c>
      <c r="E110" s="1" t="s">
        <v>10</v>
      </c>
      <c r="F110" s="3">
        <v>700</v>
      </c>
      <c r="G110" s="3">
        <f t="shared" si="3"/>
        <v>700</v>
      </c>
    </row>
    <row r="111" spans="1:7" x14ac:dyDescent="0.25">
      <c r="B111" s="13" t="s">
        <v>85</v>
      </c>
      <c r="C111" s="13"/>
      <c r="D111" s="1">
        <v>1</v>
      </c>
      <c r="E111" s="1" t="s">
        <v>10</v>
      </c>
      <c r="F111" s="3">
        <v>150</v>
      </c>
      <c r="G111" s="3">
        <f t="shared" si="3"/>
        <v>150</v>
      </c>
    </row>
    <row r="112" spans="1:7" x14ac:dyDescent="0.25">
      <c r="B112" s="13"/>
      <c r="C112" s="13"/>
      <c r="D112" s="1"/>
      <c r="E112" s="1"/>
      <c r="F112" s="3"/>
      <c r="G112" s="3">
        <f t="shared" si="3"/>
        <v>0</v>
      </c>
    </row>
    <row r="113" spans="2:10" x14ac:dyDescent="0.25">
      <c r="B113" s="13"/>
      <c r="C113" s="13"/>
      <c r="D113" s="1"/>
      <c r="E113" s="1"/>
      <c r="F113" s="3"/>
      <c r="G113" s="3">
        <f t="shared" si="3"/>
        <v>0</v>
      </c>
      <c r="J113" t="e">
        <f>SUMA</f>
        <v>#NAME?</v>
      </c>
    </row>
    <row r="114" spans="2:10" x14ac:dyDescent="0.25">
      <c r="B114" s="13"/>
      <c r="C114" s="13"/>
      <c r="D114" s="1"/>
      <c r="E114" s="1"/>
      <c r="F114" s="3"/>
      <c r="G114" s="3">
        <f t="shared" si="3"/>
        <v>0</v>
      </c>
    </row>
    <row r="115" spans="2:10" x14ac:dyDescent="0.25">
      <c r="G115" s="12">
        <f>SUM(G24:G111)</f>
        <v>324467.14999999997</v>
      </c>
    </row>
    <row r="117" spans="2:10" x14ac:dyDescent="0.25">
      <c r="G117" s="12"/>
    </row>
  </sheetData>
  <mergeCells count="94">
    <mergeCell ref="B61:C61"/>
    <mergeCell ref="B99:C99"/>
    <mergeCell ref="B94:C94"/>
    <mergeCell ref="B95:C95"/>
    <mergeCell ref="B96:C96"/>
    <mergeCell ref="B97:C97"/>
    <mergeCell ref="B111:C111"/>
    <mergeCell ref="B112:C112"/>
    <mergeCell ref="B113:C113"/>
    <mergeCell ref="B114:C114"/>
    <mergeCell ref="B109:C109"/>
    <mergeCell ref="B110:C110"/>
    <mergeCell ref="B98:C98"/>
    <mergeCell ref="B27:C27"/>
    <mergeCell ref="B30:C30"/>
    <mergeCell ref="B28:C28"/>
    <mergeCell ref="B29:C29"/>
    <mergeCell ref="B36:C36"/>
    <mergeCell ref="B56:C56"/>
    <mergeCell ref="B88:C88"/>
    <mergeCell ref="B62:C62"/>
    <mergeCell ref="B76:C76"/>
    <mergeCell ref="B70:C70"/>
    <mergeCell ref="B59:C59"/>
    <mergeCell ref="B63:C63"/>
    <mergeCell ref="B72:C72"/>
    <mergeCell ref="B73:C73"/>
    <mergeCell ref="B74:C74"/>
    <mergeCell ref="B105:C105"/>
    <mergeCell ref="B106:C106"/>
    <mergeCell ref="B107:C107"/>
    <mergeCell ref="B108:C108"/>
    <mergeCell ref="B100:C100"/>
    <mergeCell ref="B101:C101"/>
    <mergeCell ref="B102:C102"/>
    <mergeCell ref="B103:C103"/>
    <mergeCell ref="B89:C89"/>
    <mergeCell ref="B91:C91"/>
    <mergeCell ref="B93:C93"/>
    <mergeCell ref="B79:C79"/>
    <mergeCell ref="B80:C80"/>
    <mergeCell ref="B81:C81"/>
    <mergeCell ref="B82:C82"/>
    <mergeCell ref="B83:C83"/>
    <mergeCell ref="B86:C86"/>
    <mergeCell ref="B92:C92"/>
    <mergeCell ref="B77:C77"/>
    <mergeCell ref="B78:C78"/>
    <mergeCell ref="B64:C64"/>
    <mergeCell ref="B65:C65"/>
    <mergeCell ref="B66:C66"/>
    <mergeCell ref="B67:C67"/>
    <mergeCell ref="B68:C68"/>
    <mergeCell ref="B69:C69"/>
    <mergeCell ref="B75:C75"/>
    <mergeCell ref="B50:C50"/>
    <mergeCell ref="B51:C51"/>
    <mergeCell ref="B55:C55"/>
    <mergeCell ref="B58:C58"/>
    <mergeCell ref="B60:C60"/>
    <mergeCell ref="B54:C54"/>
    <mergeCell ref="B57:C57"/>
    <mergeCell ref="B44:C44"/>
    <mergeCell ref="B45:C45"/>
    <mergeCell ref="B46:C46"/>
    <mergeCell ref="B47:C47"/>
    <mergeCell ref="B48:C48"/>
    <mergeCell ref="B40:C40"/>
    <mergeCell ref="B42:C42"/>
    <mergeCell ref="B43:C43"/>
    <mergeCell ref="B37:C37"/>
    <mergeCell ref="B39:C39"/>
    <mergeCell ref="B38:C38"/>
    <mergeCell ref="A20:G20"/>
    <mergeCell ref="A21:G21"/>
    <mergeCell ref="A22:C22"/>
    <mergeCell ref="B24:C24"/>
    <mergeCell ref="B25:C25"/>
    <mergeCell ref="B104:C104"/>
    <mergeCell ref="B71:C71"/>
    <mergeCell ref="B90:C90"/>
    <mergeCell ref="B26:C26"/>
    <mergeCell ref="B31:C31"/>
    <mergeCell ref="B41:C41"/>
    <mergeCell ref="B87:C87"/>
    <mergeCell ref="B84:C84"/>
    <mergeCell ref="B85:C85"/>
    <mergeCell ref="B52:C52"/>
    <mergeCell ref="B53:C53"/>
    <mergeCell ref="B35:C35"/>
    <mergeCell ref="B49:C49"/>
    <mergeCell ref="B32:C32"/>
    <mergeCell ref="B33:C33"/>
    <mergeCell ref="B34:C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Jorge Erniquez</cp:lastModifiedBy>
  <dcterms:created xsi:type="dcterms:W3CDTF">2025-12-24T16:26:01Z</dcterms:created>
  <dcterms:modified xsi:type="dcterms:W3CDTF">2026-03-12T19:36:38Z</dcterms:modified>
</cp:coreProperties>
</file>